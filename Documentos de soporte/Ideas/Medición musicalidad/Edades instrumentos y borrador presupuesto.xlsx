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/>
  <xr:revisionPtr revIDLastSave="163" documentId="11_0B1D56BE9CDCCE836B02CE7A5FB0D4A9BBFD1C62" xr6:coauthVersionLast="47" xr6:coauthVersionMax="47" xr10:uidLastSave="{101DBE01-6D17-46AD-A9AF-64702B9C1D09}"/>
  <bookViews>
    <workbookView xWindow="240" yWindow="105" windowWidth="14805" windowHeight="8010" activeTab="1" xr2:uid="{00000000-000D-0000-FFFF-FFFF00000000}"/>
  </bookViews>
  <sheets>
    <sheet name="Edades" sheetId="2" r:id="rId1"/>
    <sheet name="Presupuesto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2" i="1"/>
  <c r="F3" i="1"/>
  <c r="F8" i="1"/>
  <c r="C3" i="1" l="1"/>
  <c r="G3" i="1" s="1"/>
  <c r="C4" i="1"/>
  <c r="G4" i="1" s="1"/>
  <c r="C5" i="1"/>
  <c r="G5" i="1" s="1"/>
  <c r="C6" i="1"/>
  <c r="G6" i="1" s="1"/>
  <c r="C7" i="1"/>
  <c r="G7" i="1" s="1"/>
  <c r="C2" i="1"/>
  <c r="G2" i="1" s="1"/>
</calcChain>
</file>

<file path=xl/sharedStrings.xml><?xml version="1.0" encoding="utf-8"?>
<sst xmlns="http://schemas.openxmlformats.org/spreadsheetml/2006/main" count="19" uniqueCount="19">
  <si>
    <t>Edad en Meses</t>
  </si>
  <si>
    <t>...</t>
  </si>
  <si>
    <t>Lenguaje</t>
  </si>
  <si>
    <t>CDI 1 - palabras y gestos</t>
  </si>
  <si>
    <t>CDI 2- palabras y enunciados</t>
  </si>
  <si>
    <t>Musicalidad</t>
  </si>
  <si>
    <t>Music@Home Infant</t>
  </si>
  <si>
    <t>Music@Home Preschool</t>
  </si>
  <si>
    <t>Máximo</t>
  </si>
  <si>
    <t>Item</t>
  </si>
  <si>
    <t>Cantidad</t>
  </si>
  <si>
    <t>Costo</t>
  </si>
  <si>
    <t>Menor a tope</t>
  </si>
  <si>
    <t>Refrigerios</t>
  </si>
  <si>
    <t xml:space="preserve">Equipos </t>
  </si>
  <si>
    <t>Personal Científico</t>
  </si>
  <si>
    <t>Servicios técnicos</t>
  </si>
  <si>
    <t>Software</t>
  </si>
  <si>
    <t>Apoyo a la difusión (congresos)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</si>
</sst>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$-240A]\ #,##0"/>
  </numFmts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9" fontId="0" fillId="0" borderId="0" xfId="0" applyNumberFormat="1"/>
    <xf numFmtId="9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/>
    <xf numFmtId="1" fontId="0" fillId="0" borderId="0" xfId="0" applyNumberFormat="1"/>
    <xf numFmtId="167" fontId="0" fillId="0" borderId="0" xfId="0" applyNumberFormat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6" xfId="0" applyBorder="1" applyAlignment="1">
      <alignment horizontal="center"/>
    </xf>
    <xf numFmtId="0" fontId="0" fillId="4" borderId="11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6" borderId="15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0" fillId="7" borderId="3" xfId="0" applyFill="1" applyBorder="1" applyAlignment="1">
      <alignment vertical="center"/>
    </xf>
    <xf numFmtId="0" fontId="0" fillId="8" borderId="12" xfId="0" applyFill="1" applyBorder="1" applyAlignment="1">
      <alignment vertical="center"/>
    </xf>
    <xf numFmtId="0" fontId="0" fillId="8" borderId="5" xfId="0" applyFill="1" applyBorder="1" applyAlignment="1">
      <alignment vertical="center"/>
    </xf>
    <xf numFmtId="0" fontId="0" fillId="8" borderId="6" xfId="0" applyFill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5" xfId="0" applyFill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5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FA32-8156-40F1-8CC3-5AA5343C5AC0}">
  <dimension ref="A1:AH6"/>
  <sheetViews>
    <sheetView workbookViewId="0">
      <selection activeCell="A2" sqref="A2:AH6"/>
    </sheetView>
  </sheetViews>
  <sheetFormatPr defaultRowHeight="15"/>
  <cols>
    <col min="1" max="1" width="11.28515625" customWidth="1"/>
    <col min="2" max="2" width="14.85546875" customWidth="1"/>
    <col min="3" max="34" width="3" customWidth="1"/>
  </cols>
  <sheetData>
    <row r="1" spans="1:34">
      <c r="A1" s="49"/>
      <c r="B1" s="49"/>
      <c r="C1" s="20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8"/>
      <c r="S1" s="28"/>
      <c r="T1" s="28"/>
      <c r="U1" s="28"/>
      <c r="V1" s="28"/>
      <c r="W1" s="28"/>
      <c r="X1" s="28"/>
      <c r="Y1" s="28"/>
      <c r="Z1" s="21"/>
      <c r="AA1" s="21"/>
      <c r="AB1" s="21"/>
      <c r="AC1" s="21"/>
      <c r="AD1" s="21"/>
      <c r="AE1" s="21"/>
      <c r="AF1" s="21"/>
      <c r="AG1" s="21"/>
      <c r="AH1" s="22"/>
    </row>
    <row r="2" spans="1:34">
      <c r="B2" s="50"/>
      <c r="C2" s="54">
        <v>1</v>
      </c>
      <c r="D2" s="15">
        <v>2</v>
      </c>
      <c r="E2" s="15">
        <v>3</v>
      </c>
      <c r="F2" s="15">
        <v>4</v>
      </c>
      <c r="G2" s="15">
        <v>5</v>
      </c>
      <c r="H2" s="15">
        <v>6</v>
      </c>
      <c r="I2" s="15">
        <v>7</v>
      </c>
      <c r="J2" s="15">
        <v>8</v>
      </c>
      <c r="K2" s="15">
        <v>9</v>
      </c>
      <c r="L2" s="15">
        <v>10</v>
      </c>
      <c r="M2" s="15">
        <v>11</v>
      </c>
      <c r="N2" s="15">
        <v>12</v>
      </c>
      <c r="O2" s="15">
        <v>13</v>
      </c>
      <c r="P2" s="15">
        <v>14</v>
      </c>
      <c r="Q2" s="46">
        <v>15</v>
      </c>
      <c r="R2" s="42">
        <v>16</v>
      </c>
      <c r="S2" s="43">
        <v>17</v>
      </c>
      <c r="T2" s="43">
        <v>18</v>
      </c>
      <c r="U2" s="43">
        <v>19</v>
      </c>
      <c r="V2" s="43">
        <v>20</v>
      </c>
      <c r="W2" s="43">
        <v>21</v>
      </c>
      <c r="X2" s="43">
        <v>22</v>
      </c>
      <c r="Y2" s="44">
        <v>23</v>
      </c>
      <c r="Z2" s="47">
        <v>24</v>
      </c>
      <c r="AA2" s="15">
        <v>25</v>
      </c>
      <c r="AB2" s="15">
        <v>26</v>
      </c>
      <c r="AC2" s="15">
        <v>27</v>
      </c>
      <c r="AD2" s="15">
        <v>28</v>
      </c>
      <c r="AE2" s="15">
        <v>29</v>
      </c>
      <c r="AF2" s="15">
        <v>30</v>
      </c>
      <c r="AG2" s="15" t="s">
        <v>1</v>
      </c>
      <c r="AH2" s="48">
        <v>36</v>
      </c>
    </row>
    <row r="3" spans="1:34" ht="33.75" customHeight="1">
      <c r="A3" s="8" t="s">
        <v>2</v>
      </c>
      <c r="B3" s="51" t="s">
        <v>3</v>
      </c>
      <c r="C3" s="24"/>
      <c r="D3" s="9"/>
      <c r="E3" s="9"/>
      <c r="F3" s="9"/>
      <c r="G3" s="9"/>
      <c r="H3" s="9"/>
      <c r="I3" s="9"/>
      <c r="J3" s="10"/>
      <c r="K3" s="10"/>
      <c r="L3" s="10"/>
      <c r="M3" s="10"/>
      <c r="N3" s="10"/>
      <c r="O3" s="10"/>
      <c r="P3" s="10"/>
      <c r="Q3" s="45"/>
      <c r="R3" s="55"/>
      <c r="S3" s="9"/>
      <c r="T3" s="9"/>
      <c r="U3" s="9"/>
      <c r="V3" s="9"/>
      <c r="W3" s="9"/>
      <c r="X3" s="9"/>
      <c r="Y3" s="11"/>
      <c r="Z3" s="19"/>
      <c r="AA3" s="9"/>
      <c r="AB3" s="9"/>
      <c r="AC3" s="9"/>
      <c r="AD3" s="9"/>
      <c r="AE3" s="9"/>
      <c r="AF3" s="9"/>
      <c r="AG3" s="9"/>
      <c r="AH3" s="11"/>
    </row>
    <row r="4" spans="1:34" ht="33.75" customHeight="1">
      <c r="A4" s="16"/>
      <c r="B4" s="52" t="s">
        <v>4</v>
      </c>
      <c r="C4" s="23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26"/>
      <c r="R4" s="31"/>
      <c r="S4" s="32"/>
      <c r="T4" s="32"/>
      <c r="U4" s="32"/>
      <c r="V4" s="32"/>
      <c r="W4" s="32"/>
      <c r="X4" s="32"/>
      <c r="Y4" s="33"/>
      <c r="Z4" s="29"/>
      <c r="AA4" s="30"/>
      <c r="AB4" s="30"/>
      <c r="AC4" s="30"/>
      <c r="AD4" s="30"/>
      <c r="AE4" s="30"/>
      <c r="AF4" s="30"/>
      <c r="AG4" s="17"/>
      <c r="AH4" s="18"/>
    </row>
    <row r="5" spans="1:34" ht="33.75" customHeight="1">
      <c r="A5" s="8" t="s">
        <v>5</v>
      </c>
      <c r="B5" s="51" t="s">
        <v>6</v>
      </c>
      <c r="C5" s="24"/>
      <c r="D5" s="9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5"/>
      <c r="R5" s="36"/>
      <c r="S5" s="37"/>
      <c r="T5" s="37"/>
      <c r="U5" s="37"/>
      <c r="V5" s="37"/>
      <c r="W5" s="37"/>
      <c r="X5" s="37"/>
      <c r="Y5" s="38"/>
      <c r="Z5" s="19"/>
      <c r="AA5" s="9"/>
      <c r="AB5" s="9"/>
      <c r="AC5" s="9"/>
      <c r="AD5" s="9"/>
      <c r="AE5" s="9"/>
      <c r="AF5" s="9"/>
      <c r="AG5" s="9"/>
      <c r="AH5" s="11"/>
    </row>
    <row r="6" spans="1:34" ht="33.75" customHeight="1">
      <c r="A6" s="12"/>
      <c r="B6" s="53" t="s">
        <v>7</v>
      </c>
      <c r="C6" s="25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27"/>
      <c r="R6" s="25"/>
      <c r="S6" s="13"/>
      <c r="T6" s="13"/>
      <c r="U6" s="13"/>
      <c r="V6" s="13"/>
      <c r="W6" s="13"/>
      <c r="X6" s="13"/>
      <c r="Y6" s="14"/>
      <c r="Z6" s="39"/>
      <c r="AA6" s="40"/>
      <c r="AB6" s="40"/>
      <c r="AC6" s="40"/>
      <c r="AD6" s="40"/>
      <c r="AE6" s="40"/>
      <c r="AF6" s="40"/>
      <c r="AG6" s="40"/>
      <c r="AH6" s="41"/>
    </row>
  </sheetData>
  <mergeCells count="3">
    <mergeCell ref="A3:A4"/>
    <mergeCell ref="A5:A6"/>
    <mergeCell ref="C1:A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F7" sqref="F7"/>
    </sheetView>
  </sheetViews>
  <sheetFormatPr defaultRowHeight="15"/>
  <cols>
    <col min="1" max="1" width="28.140625" bestFit="1" customWidth="1"/>
    <col min="2" max="2" width="16.42578125" bestFit="1" customWidth="1"/>
    <col min="3" max="4" width="15.5703125" customWidth="1"/>
    <col min="5" max="5" width="9" bestFit="1" customWidth="1"/>
    <col min="6" max="6" width="13.7109375" bestFit="1" customWidth="1"/>
    <col min="7" max="7" width="12.28515625" bestFit="1" customWidth="1"/>
  </cols>
  <sheetData>
    <row r="1" spans="1:7">
      <c r="B1" s="4" t="s">
        <v>8</v>
      </c>
      <c r="C1" s="4"/>
      <c r="D1" s="3" t="s">
        <v>9</v>
      </c>
      <c r="E1" s="3" t="s">
        <v>10</v>
      </c>
      <c r="F1" t="s">
        <v>11</v>
      </c>
      <c r="G1" t="s">
        <v>12</v>
      </c>
    </row>
    <row r="2" spans="1:7">
      <c r="A2" t="s">
        <v>13</v>
      </c>
      <c r="B2" s="1">
        <v>0.1</v>
      </c>
      <c r="C2" s="5">
        <f>B2*$F$8</f>
        <v>29300000</v>
      </c>
      <c r="D2" s="5">
        <v>50000</v>
      </c>
      <c r="E2" s="6">
        <v>200</v>
      </c>
      <c r="F2" s="5">
        <f>D2*E2</f>
        <v>10000000</v>
      </c>
      <c r="G2" s="7" t="str">
        <f>IF(F2&gt;C2,"ERROR", "OK")</f>
        <v>OK</v>
      </c>
    </row>
    <row r="3" spans="1:7">
      <c r="A3" t="s">
        <v>14</v>
      </c>
      <c r="B3" s="1">
        <v>1</v>
      </c>
      <c r="C3" s="5">
        <f t="shared" ref="C3:C7" si="0">B3*$F$8</f>
        <v>293000000</v>
      </c>
      <c r="D3" s="5">
        <v>239000000</v>
      </c>
      <c r="E3" s="6">
        <v>1</v>
      </c>
      <c r="F3" s="5">
        <f>D3*E3</f>
        <v>239000000</v>
      </c>
      <c r="G3" s="7" t="str">
        <f t="shared" ref="G3:G7" si="1">IF(F3&gt;C3,"ERROR", "OK")</f>
        <v>OK</v>
      </c>
    </row>
    <row r="4" spans="1:7">
      <c r="A4" t="s">
        <v>15</v>
      </c>
      <c r="B4" s="2">
        <v>0.6</v>
      </c>
      <c r="C4" s="5">
        <f t="shared" si="0"/>
        <v>175800000</v>
      </c>
      <c r="D4" s="5">
        <v>0</v>
      </c>
      <c r="E4" s="6"/>
      <c r="F4" s="5">
        <f t="shared" ref="F4:F7" si="2">D4*E4</f>
        <v>0</v>
      </c>
      <c r="G4" s="7" t="str">
        <f t="shared" si="1"/>
        <v>OK</v>
      </c>
    </row>
    <row r="5" spans="1:7">
      <c r="A5" t="s">
        <v>16</v>
      </c>
      <c r="B5" s="1">
        <v>0.5</v>
      </c>
      <c r="C5" s="5">
        <f t="shared" si="0"/>
        <v>146500000</v>
      </c>
      <c r="D5" s="5">
        <v>2000000</v>
      </c>
      <c r="E5" s="6">
        <v>12</v>
      </c>
      <c r="F5" s="5">
        <f t="shared" si="2"/>
        <v>24000000</v>
      </c>
      <c r="G5" s="7" t="str">
        <f t="shared" si="1"/>
        <v>OK</v>
      </c>
    </row>
    <row r="6" spans="1:7">
      <c r="A6" t="s">
        <v>17</v>
      </c>
      <c r="B6" s="1">
        <v>0.2</v>
      </c>
      <c r="C6" s="5">
        <f t="shared" si="0"/>
        <v>58600000</v>
      </c>
      <c r="D6" s="5">
        <v>0</v>
      </c>
      <c r="E6" s="6"/>
      <c r="F6" s="5">
        <f t="shared" si="2"/>
        <v>0</v>
      </c>
      <c r="G6" s="7" t="str">
        <f t="shared" si="1"/>
        <v>OK</v>
      </c>
    </row>
    <row r="7" spans="1:7">
      <c r="A7" t="s">
        <v>18</v>
      </c>
      <c r="B7" s="1">
        <v>0.1</v>
      </c>
      <c r="C7" s="5">
        <f t="shared" si="0"/>
        <v>29300000</v>
      </c>
      <c r="D7" s="5">
        <v>10000000</v>
      </c>
      <c r="E7" s="6">
        <v>2</v>
      </c>
      <c r="F7" s="5">
        <f t="shared" si="2"/>
        <v>20000000</v>
      </c>
      <c r="G7" s="7" t="str">
        <f t="shared" si="1"/>
        <v>OK</v>
      </c>
    </row>
    <row r="8" spans="1:7">
      <c r="E8" s="6"/>
      <c r="F8" s="5">
        <f>SUM(F2:F7)</f>
        <v>293000000</v>
      </c>
    </row>
  </sheetData>
  <mergeCells count="1">
    <mergeCell ref="B1:C1"/>
  </mergeCells>
  <conditionalFormatting sqref="F2:F7">
    <cfRule type="containsText" dxfId="2" priority="3" operator="containsText" text="ERROR">
      <formula>NOT(ISERROR(SEARCH("ERROR",F2)))</formula>
    </cfRule>
  </conditionalFormatting>
  <conditionalFormatting sqref="G2:G7">
    <cfRule type="containsText" dxfId="1" priority="2" operator="containsText" text="ERROR">
      <formula>NOT(ISERROR(SEARCH("ERROR",G2)))</formula>
    </cfRule>
  </conditionalFormatting>
  <conditionalFormatting sqref="G2:G7">
    <cfRule type="containsText" dxfId="0" priority="1" operator="containsText" text="OK">
      <formula>NOT(ISERROR(SEARCH("OK",G2)))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David Leongómez</cp:lastModifiedBy>
  <cp:revision/>
  <dcterms:created xsi:type="dcterms:W3CDTF">2025-07-30T17:47:21Z</dcterms:created>
  <dcterms:modified xsi:type="dcterms:W3CDTF">2025-07-30T20:56:35Z</dcterms:modified>
  <cp:category/>
  <cp:contentStatus/>
</cp:coreProperties>
</file>