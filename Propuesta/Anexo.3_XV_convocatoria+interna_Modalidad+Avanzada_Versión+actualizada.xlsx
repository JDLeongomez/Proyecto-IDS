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juanl\GitHub\Proyecto-IDS\Propuesta\"/>
    </mc:Choice>
  </mc:AlternateContent>
  <xr:revisionPtr revIDLastSave="0" documentId="13_ncr:1_{8587C258-A6D3-4AF9-9B32-9780EC6566B9}" xr6:coauthVersionLast="47" xr6:coauthVersionMax="47" xr10:uidLastSave="{00000000-0000-0000-0000-000000000000}"/>
  <bookViews>
    <workbookView xWindow="-120" yWindow="-120" windowWidth="29040" windowHeight="15990" tabRatio="821" firstSheet="6" activeTab="11" xr2:uid="{00000000-000D-0000-FFFF-FFFF00000000}"/>
    <workbookView xWindow="-28920" yWindow="-375" windowWidth="29040" windowHeight="16440" activeTab="1" xr2:uid="{22ADFC2E-12C7-4E6D-A423-131F8117F591}"/>
  </bookViews>
  <sheets>
    <sheet name="BASE PERSONAL" sheetId="15" r:id="rId1"/>
    <sheet name="RESUMEN GENERAL" sheetId="1" r:id="rId2"/>
    <sheet name="Personal científico" sheetId="3" r:id="rId3"/>
    <sheet name="Equipos especializados" sheetId="4" r:id="rId4"/>
    <sheet name="Materiales y reactivos " sheetId="5" r:id="rId5"/>
    <sheet name="Salida de campo" sheetId="7" r:id="rId6"/>
    <sheet name="Refrigerios" sheetId="13" r:id="rId7"/>
    <sheet name="Servicios técnicos" sheetId="8" r:id="rId8"/>
    <sheet name="Software especializado " sheetId="10" r:id="rId9"/>
    <sheet name="Pólizas para la realización de " sheetId="14" r:id="rId10"/>
    <sheet name="Apoyo a la producción científic" sheetId="12" r:id="rId11"/>
    <sheet name="Apoyo a la difusión de resultad" sheetId="6" r:id="rId12"/>
    <sheet name="Otros gastos" sheetId="9" r:id="rId13"/>
    <sheet name="Estrategia de divulgación" sheetId="11" r:id="rId14"/>
  </sheets>
  <externalReferences>
    <externalReference r:id="rId15"/>
    <externalReference r:id="rId16"/>
    <externalReference r:id="rId17"/>
    <externalReference r:id="rId18"/>
    <externalReference r:id="rId19"/>
    <externalReference r:id="rId20"/>
  </externalReferences>
  <definedNames>
    <definedName name="____58">#REF!</definedName>
    <definedName name="____IV65999">#REF!</definedName>
    <definedName name="____IV66126">#REF!</definedName>
    <definedName name="____IV66926">#REF!</definedName>
    <definedName name="____IV67092">#REF!</definedName>
    <definedName name="____IV69999">#REF!</definedName>
    <definedName name="____IV79999">#REF!</definedName>
    <definedName name="____IV89999">#REF!</definedName>
    <definedName name="____IV99999">#REF!</definedName>
    <definedName name="___10">#REF!</definedName>
    <definedName name="___12">#REF!</definedName>
    <definedName name="___15">#REF!</definedName>
    <definedName name="___23">#REF!</definedName>
    <definedName name="___3">#REF!</definedName>
    <definedName name="___4">#REF!</definedName>
    <definedName name="___7">#REF!</definedName>
    <definedName name="___7778">#REF!</definedName>
    <definedName name="___78">#REF!</definedName>
    <definedName name="___79">#REF!</definedName>
    <definedName name="___9">#REF!</definedName>
    <definedName name="___95">#REF!</definedName>
    <definedName name="___IV65999">#REF!</definedName>
    <definedName name="___IV66126">#REF!</definedName>
    <definedName name="___IV66926">#REF!</definedName>
    <definedName name="___IV67092">#REF!</definedName>
    <definedName name="___IV69999">#REF!</definedName>
    <definedName name="___IV79999">#REF!</definedName>
    <definedName name="___IV89998">#REF!</definedName>
    <definedName name="___IV89999">#REF!</definedName>
    <definedName name="___IV99999">#REF!</definedName>
    <definedName name="__777">#REF!</definedName>
    <definedName name="__8">#REF!</definedName>
    <definedName name="__88">#REF!</definedName>
    <definedName name="__9">#REF!</definedName>
    <definedName name="__IV65999">#REF!</definedName>
    <definedName name="__IV66126">#REF!</definedName>
    <definedName name="__IV66926">#REF!</definedName>
    <definedName name="__IV67092">#REF!</definedName>
    <definedName name="__IV69999">#REF!</definedName>
    <definedName name="__IV79999">#REF!</definedName>
    <definedName name="__IV89999">#REF!</definedName>
    <definedName name="__IV99999">#REF!</definedName>
    <definedName name="_4">#REF!</definedName>
    <definedName name="_7789">#REF!</definedName>
    <definedName name="_IV65999">#REF!</definedName>
    <definedName name="_IV66126">#REF!</definedName>
    <definedName name="_IV66926">#REF!</definedName>
    <definedName name="_IV67092">#REF!</definedName>
    <definedName name="_IV69999">#REF!</definedName>
    <definedName name="_IV79999">#REF!</definedName>
    <definedName name="_iv8888">#REF!</definedName>
    <definedName name="_IV89999">#REF!</definedName>
    <definedName name="_IV99999">#REF!</definedName>
    <definedName name="AS2DocOpenMode">"AS2DocumentEdit"</definedName>
    <definedName name="BORR">#REF!</definedName>
    <definedName name="catego2">'[1]Base 1'!$B$19:$D$34</definedName>
    <definedName name="CodCategoria">[2]NOMINA!$E$21:$E$37</definedName>
    <definedName name="CodContrato">[2]NOMINA!$H$21:$H$37</definedName>
    <definedName name="codigo">'[1]Base 1'!$B$19:$B$25</definedName>
    <definedName name="D">'[3]Anestesia y Ream'!$E$3:$E$66</definedName>
    <definedName name="DATA1">#REF!</definedName>
    <definedName name="DATA2">#REF!</definedName>
    <definedName name="DATA3">#REF!</definedName>
    <definedName name="DATA4">[4]Hoja1!#REF!</definedName>
    <definedName name="DATA5">'[5]EJE JULIO NOV'!$F$3:$F$78</definedName>
    <definedName name="MES">#REF!</definedName>
    <definedName name="MESES">'[6]CONSOLIDADO (2)'!$E$406:$E$410</definedName>
    <definedName name="NivelEstudio">[2]NOMINA!$D$21:$D$36</definedName>
    <definedName name="PORCENTAJE">'[6]CONSOLIDADO (2)'!$E$420:$E$424</definedName>
    <definedName name="PRESTAMO">#REF!</definedName>
    <definedName name="razon">'[1]Base 2'!$G$3:$G$5</definedName>
    <definedName name="saldo">#REF!</definedName>
    <definedName name="ss">#REF!</definedName>
    <definedName name="ssssss">#REF!</definedName>
    <definedName name="sueldo">#REF!</definedName>
    <definedName name="TECNO">'[6]CONSOLIDADO (2)'!$E$413:$E$417</definedName>
    <definedName name="tes">#REF!</definedName>
    <definedName name="TEST0">#REF!</definedName>
    <definedName name="TESTHKEY">#REF!</definedName>
    <definedName name="TESTKEYS">#REF!</definedName>
    <definedName name="TESTVKEY">#REF!</definedName>
    <definedName name="TextRefCopyRangeCount">2</definedName>
    <definedName name="tipo">'[1]Base 2'!$B$15:$C$17</definedName>
    <definedName name="TipoOD">[2]NOMINA!$B$21:$B$37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5" roundtripDataChecksum="xQrFEsXCrraxzeEeATmwDBFyqmZcQ7qOEJb/3r8JE3Q="/>
    </ext>
  </extLst>
</workbook>
</file>

<file path=xl/calcChain.xml><?xml version="1.0" encoding="utf-8"?>
<calcChain xmlns="http://schemas.openxmlformats.org/spreadsheetml/2006/main">
  <c r="I20" i="15" l="1"/>
  <c r="A17" i="15"/>
  <c r="C15" i="15"/>
  <c r="D15" i="15" s="1"/>
  <c r="I8" i="15"/>
  <c r="C7" i="15"/>
  <c r="E7" i="15" s="1"/>
  <c r="G7" i="15" s="1"/>
  <c r="H7" i="15" s="1"/>
  <c r="K7" i="15" s="1"/>
  <c r="K6" i="15"/>
  <c r="A5" i="15"/>
  <c r="C3" i="15" s="1"/>
  <c r="D3" i="15" s="1"/>
  <c r="E15" i="15" l="1"/>
  <c r="G15" i="15" s="1"/>
  <c r="H15" i="15" s="1"/>
  <c r="E3" i="15"/>
  <c r="G3" i="15" s="1"/>
  <c r="H3" i="15" s="1"/>
  <c r="C16" i="15" l="1"/>
  <c r="E16" i="15" s="1"/>
  <c r="G16" i="15" s="1"/>
  <c r="H16" i="15" s="1"/>
  <c r="K15" i="15"/>
  <c r="C4" i="15"/>
  <c r="E4" i="15" s="1"/>
  <c r="G4" i="15" s="1"/>
  <c r="H4" i="15" s="1"/>
  <c r="K3" i="15"/>
  <c r="K16" i="15" l="1"/>
  <c r="C17" i="15"/>
  <c r="E17" i="15" s="1"/>
  <c r="G17" i="15" s="1"/>
  <c r="H17" i="15" s="1"/>
  <c r="K4" i="15"/>
  <c r="C5" i="15"/>
  <c r="E5" i="15" s="1"/>
  <c r="G5" i="15" s="1"/>
  <c r="H5" i="15" s="1"/>
  <c r="K17" i="15" l="1"/>
  <c r="C18" i="15"/>
  <c r="E18" i="15" s="1"/>
  <c r="G18" i="15" s="1"/>
  <c r="H18" i="15" s="1"/>
  <c r="K5" i="15"/>
  <c r="L8" i="15" s="1"/>
  <c r="C6" i="15"/>
  <c r="E6" i="15" s="1"/>
  <c r="G6" i="15" s="1"/>
  <c r="C19" i="15" l="1"/>
  <c r="E19" i="15" s="1"/>
  <c r="G19" i="15" s="1"/>
  <c r="H19" i="15" s="1"/>
  <c r="K19" i="15" s="1"/>
  <c r="K18" i="15"/>
  <c r="L20" i="15" s="1"/>
  <c r="E10" i="11" l="1"/>
  <c r="F10" i="11" s="1"/>
  <c r="I10" i="11" s="1"/>
  <c r="E9" i="11"/>
  <c r="F9" i="11" s="1"/>
  <c r="I9" i="11" s="1"/>
  <c r="M10" i="6"/>
  <c r="N10" i="6" s="1"/>
  <c r="L10" i="6"/>
  <c r="J10" i="6"/>
  <c r="H10" i="6"/>
  <c r="N9" i="6"/>
  <c r="M9" i="6"/>
  <c r="L9" i="6"/>
  <c r="J9" i="6"/>
  <c r="H9" i="6"/>
  <c r="L8" i="6"/>
  <c r="J8" i="6"/>
  <c r="H8" i="6"/>
  <c r="M8" i="6" s="1"/>
  <c r="N8" i="6" s="1"/>
  <c r="E8" i="8"/>
  <c r="F8" i="8" s="1"/>
  <c r="E10" i="13"/>
  <c r="E8" i="4"/>
  <c r="I44" i="15"/>
  <c r="A41" i="15"/>
  <c r="C39" i="15" s="1"/>
  <c r="I50" i="15"/>
  <c r="A47" i="15"/>
  <c r="C45" i="15" s="1"/>
  <c r="I38" i="15"/>
  <c r="A35" i="15"/>
  <c r="C33" i="15" s="1"/>
  <c r="I32" i="15"/>
  <c r="A29" i="15"/>
  <c r="C27" i="15" s="1"/>
  <c r="I14" i="15"/>
  <c r="A11" i="15"/>
  <c r="C9" i="15" s="1"/>
  <c r="D9" i="15" s="1"/>
  <c r="B14" i="1"/>
  <c r="B2" i="11" a="1"/>
  <c r="B2" i="11" s="1"/>
  <c r="B1" i="11" a="1"/>
  <c r="B1" i="11" s="1"/>
  <c r="A2" i="11"/>
  <c r="A1" i="11"/>
  <c r="B2" i="9" a="1"/>
  <c r="B2" i="9" s="1"/>
  <c r="B1" i="9" a="1"/>
  <c r="B1" i="9" s="1"/>
  <c r="A2" i="9"/>
  <c r="A1" i="9"/>
  <c r="B2" i="6" a="1"/>
  <c r="B2" i="6" s="1"/>
  <c r="B1" i="6" a="1"/>
  <c r="B1" i="6" s="1"/>
  <c r="A2" i="6"/>
  <c r="A1" i="6"/>
  <c r="B2" i="12" a="1"/>
  <c r="B2" i="12" s="1"/>
  <c r="B1" i="12" a="1"/>
  <c r="B1" i="12" s="1"/>
  <c r="A2" i="12"/>
  <c r="A1" i="12"/>
  <c r="B2" i="14" a="1"/>
  <c r="B2" i="14" s="1"/>
  <c r="B1" i="14" a="1"/>
  <c r="B1" i="14" s="1"/>
  <c r="A2" i="14"/>
  <c r="A1" i="14"/>
  <c r="B2" i="10" a="1"/>
  <c r="B2" i="10" s="1"/>
  <c r="B1" i="10" a="1"/>
  <c r="B1" i="10" s="1"/>
  <c r="A2" i="10"/>
  <c r="A1" i="10"/>
  <c r="B2" i="8" a="1"/>
  <c r="B2" i="8" s="1"/>
  <c r="B1" i="8" a="1"/>
  <c r="B1" i="8" s="1"/>
  <c r="A2" i="8"/>
  <c r="A1" i="8"/>
  <c r="B2" i="13" a="1"/>
  <c r="B2" i="13" s="1"/>
  <c r="A2" i="13"/>
  <c r="B1" i="13" a="1"/>
  <c r="B1" i="13" s="1"/>
  <c r="A1" i="13"/>
  <c r="B2" i="7" a="1"/>
  <c r="B2" i="7" s="1"/>
  <c r="B1" i="7" a="1"/>
  <c r="B1" i="7" s="1"/>
  <c r="A2" i="7"/>
  <c r="A1" i="7"/>
  <c r="A2" i="3"/>
  <c r="B2" i="4" a="1"/>
  <c r="B2" i="4" s="1"/>
  <c r="B1" i="4" a="1"/>
  <c r="B1" i="4" s="1"/>
  <c r="B2" i="5" a="1"/>
  <c r="B2" i="5" s="1"/>
  <c r="B1" i="5" a="1"/>
  <c r="B1" i="5" s="1"/>
  <c r="A2" i="5"/>
  <c r="A1" i="5"/>
  <c r="A2" i="4"/>
  <c r="A1" i="4"/>
  <c r="R16" i="3"/>
  <c r="R17" i="3"/>
  <c r="R18" i="3"/>
  <c r="O16" i="3"/>
  <c r="O17" i="3"/>
  <c r="O18" i="3"/>
  <c r="L16" i="3"/>
  <c r="L17" i="3"/>
  <c r="L18" i="3"/>
  <c r="I9" i="4"/>
  <c r="I10" i="4"/>
  <c r="I11" i="4"/>
  <c r="I12" i="4"/>
  <c r="I13" i="4"/>
  <c r="I14" i="4"/>
  <c r="I15" i="4"/>
  <c r="I16" i="4"/>
  <c r="I17" i="4"/>
  <c r="L11" i="3"/>
  <c r="R10" i="3"/>
  <c r="L8" i="3"/>
  <c r="L12" i="3"/>
  <c r="I75" i="15"/>
  <c r="H17" i="8"/>
  <c r="B2" i="3" a="1"/>
  <c r="B2" i="3" s="1"/>
  <c r="B1" i="3" a="1"/>
  <c r="B1" i="3" s="1"/>
  <c r="A1" i="3"/>
  <c r="I8" i="4"/>
  <c r="R19" i="3"/>
  <c r="R15" i="3"/>
  <c r="R14" i="3"/>
  <c r="R13" i="3"/>
  <c r="R12" i="3"/>
  <c r="R11" i="3"/>
  <c r="R9" i="3"/>
  <c r="R8" i="3"/>
  <c r="O19" i="3"/>
  <c r="O15" i="3"/>
  <c r="O14" i="3"/>
  <c r="O13" i="3"/>
  <c r="O12" i="3"/>
  <c r="O11" i="3"/>
  <c r="O10" i="3"/>
  <c r="O9" i="3"/>
  <c r="O8" i="3"/>
  <c r="L9" i="3"/>
  <c r="L10" i="3"/>
  <c r="L13" i="3"/>
  <c r="L14" i="3"/>
  <c r="L15" i="3"/>
  <c r="L19" i="3"/>
  <c r="A72" i="15"/>
  <c r="C70" i="15" s="1"/>
  <c r="D70" i="15" s="1"/>
  <c r="I69" i="15"/>
  <c r="A66" i="15"/>
  <c r="C64" i="15" s="1"/>
  <c r="I56" i="15"/>
  <c r="A53" i="15"/>
  <c r="C51" i="15" s="1"/>
  <c r="I26" i="15"/>
  <c r="A23" i="15"/>
  <c r="C21" i="15" s="1"/>
  <c r="D21" i="15" s="1"/>
  <c r="I11" i="11"/>
  <c r="I12" i="11"/>
  <c r="I13" i="11"/>
  <c r="I14" i="11"/>
  <c r="I15" i="11"/>
  <c r="I16" i="11"/>
  <c r="I17" i="11"/>
  <c r="J9" i="10"/>
  <c r="J10" i="10"/>
  <c r="J11" i="10"/>
  <c r="J12" i="10"/>
  <c r="J13" i="10"/>
  <c r="J14" i="10"/>
  <c r="J15" i="10"/>
  <c r="J8" i="10"/>
  <c r="S17" i="3" l="1"/>
  <c r="U17" i="3" s="1"/>
  <c r="X17" i="3" s="1"/>
  <c r="S18" i="3"/>
  <c r="U18" i="3" s="1"/>
  <c r="X18" i="3" s="1"/>
  <c r="S16" i="3"/>
  <c r="U16" i="3" s="1"/>
  <c r="X16" i="3" s="1"/>
  <c r="D39" i="15"/>
  <c r="E39" i="15" s="1"/>
  <c r="G39" i="15" s="1"/>
  <c r="H39" i="15" s="1"/>
  <c r="D45" i="15"/>
  <c r="E45" i="15" s="1"/>
  <c r="G45" i="15" s="1"/>
  <c r="H45" i="15" s="1"/>
  <c r="D27" i="15"/>
  <c r="E27" i="15" s="1"/>
  <c r="G27" i="15" s="1"/>
  <c r="H27" i="15" s="1"/>
  <c r="D33" i="15"/>
  <c r="E33" i="15" s="1"/>
  <c r="G33" i="15" s="1"/>
  <c r="H33" i="15" s="1"/>
  <c r="E9" i="15"/>
  <c r="G9" i="15" s="1"/>
  <c r="H9" i="15" s="1"/>
  <c r="O20" i="3"/>
  <c r="D64" i="15"/>
  <c r="E64" i="15" s="1"/>
  <c r="G64" i="15" s="1"/>
  <c r="H64" i="15" s="1"/>
  <c r="D51" i="15"/>
  <c r="E51" i="15" s="1"/>
  <c r="G51" i="15" s="1"/>
  <c r="H51" i="15" s="1"/>
  <c r="E70" i="15"/>
  <c r="G70" i="15" s="1"/>
  <c r="H70" i="15" s="1"/>
  <c r="E21" i="15"/>
  <c r="G21" i="15" s="1"/>
  <c r="H21" i="15" s="1"/>
  <c r="F16" i="14"/>
  <c r="G19" i="1" s="1"/>
  <c r="E16" i="14"/>
  <c r="B19" i="1" s="1"/>
  <c r="F19" i="1" s="1"/>
  <c r="G15" i="14"/>
  <c r="G14" i="14"/>
  <c r="G13" i="14"/>
  <c r="G12" i="14"/>
  <c r="G11" i="14"/>
  <c r="G10" i="14"/>
  <c r="G9" i="14"/>
  <c r="G8" i="14"/>
  <c r="G18" i="13"/>
  <c r="H16" i="1" s="1"/>
  <c r="F18" i="13"/>
  <c r="G16" i="1" s="1"/>
  <c r="E18" i="13"/>
  <c r="B16" i="1" s="1"/>
  <c r="F16" i="1" s="1"/>
  <c r="H17" i="13"/>
  <c r="H16" i="13"/>
  <c r="H15" i="13"/>
  <c r="H14" i="13"/>
  <c r="H13" i="13"/>
  <c r="H12" i="13"/>
  <c r="H11" i="13"/>
  <c r="H10" i="13"/>
  <c r="H20" i="1"/>
  <c r="G15" i="12"/>
  <c r="G20" i="1" s="1"/>
  <c r="F15" i="12"/>
  <c r="B20" i="1" s="1"/>
  <c r="F20" i="1" s="1"/>
  <c r="H14" i="12"/>
  <c r="E14" i="12"/>
  <c r="H13" i="12"/>
  <c r="E13" i="12"/>
  <c r="H12" i="12"/>
  <c r="E12" i="12"/>
  <c r="H11" i="12"/>
  <c r="E11" i="12"/>
  <c r="H10" i="12"/>
  <c r="E10" i="12"/>
  <c r="H9" i="12"/>
  <c r="E9" i="12"/>
  <c r="H8" i="12"/>
  <c r="E8" i="12"/>
  <c r="H18" i="11"/>
  <c r="G18" i="11"/>
  <c r="F18" i="11"/>
  <c r="E17" i="11"/>
  <c r="E16" i="11"/>
  <c r="E15" i="11"/>
  <c r="E14" i="11"/>
  <c r="E13" i="11"/>
  <c r="E12" i="11"/>
  <c r="E11" i="11"/>
  <c r="I16" i="10"/>
  <c r="H18" i="1" s="1"/>
  <c r="H16" i="10"/>
  <c r="G18" i="1" s="1"/>
  <c r="G16" i="10"/>
  <c r="E18" i="1" s="1"/>
  <c r="F16" i="10"/>
  <c r="E15" i="10"/>
  <c r="E14" i="10"/>
  <c r="E13" i="10"/>
  <c r="E12" i="10"/>
  <c r="E11" i="10"/>
  <c r="E10" i="10"/>
  <c r="E9" i="10"/>
  <c r="E8" i="10"/>
  <c r="H18" i="9"/>
  <c r="H22" i="1" s="1"/>
  <c r="G18" i="9"/>
  <c r="G22" i="1" s="1"/>
  <c r="F18" i="9"/>
  <c r="B22" i="1" s="1"/>
  <c r="F22" i="1" s="1"/>
  <c r="I17" i="9"/>
  <c r="E17" i="9"/>
  <c r="I16" i="9"/>
  <c r="E16" i="9"/>
  <c r="I15" i="9"/>
  <c r="E15" i="9"/>
  <c r="I14" i="9"/>
  <c r="E14" i="9"/>
  <c r="I13" i="9"/>
  <c r="E13" i="9"/>
  <c r="I12" i="9"/>
  <c r="E12" i="9"/>
  <c r="I11" i="9"/>
  <c r="E11" i="9"/>
  <c r="I10" i="9"/>
  <c r="E10" i="9"/>
  <c r="I9" i="9"/>
  <c r="E9" i="9"/>
  <c r="H17" i="1"/>
  <c r="G17" i="8"/>
  <c r="G17" i="1" s="1"/>
  <c r="F17" i="8"/>
  <c r="B17" i="1" s="1"/>
  <c r="F17" i="1" s="1"/>
  <c r="I16" i="8"/>
  <c r="E16" i="8"/>
  <c r="I15" i="8"/>
  <c r="E15" i="8"/>
  <c r="I14" i="8"/>
  <c r="E14" i="8"/>
  <c r="I13" i="8"/>
  <c r="E13" i="8"/>
  <c r="I12" i="8"/>
  <c r="E12" i="8"/>
  <c r="I11" i="8"/>
  <c r="E11" i="8"/>
  <c r="I10" i="8"/>
  <c r="E10" i="8"/>
  <c r="I9" i="8"/>
  <c r="E9" i="8"/>
  <c r="I8" i="8"/>
  <c r="P16" i="7"/>
  <c r="H15" i="1" s="1"/>
  <c r="O16" i="7"/>
  <c r="G15" i="1" s="1"/>
  <c r="N16" i="7"/>
  <c r="B15" i="1" s="1"/>
  <c r="F15" i="1" s="1"/>
  <c r="Q15" i="7"/>
  <c r="L15" i="7"/>
  <c r="J15" i="7"/>
  <c r="H15" i="7"/>
  <c r="Q14" i="7"/>
  <c r="L14" i="7"/>
  <c r="J14" i="7"/>
  <c r="H14" i="7"/>
  <c r="Q13" i="7"/>
  <c r="L13" i="7"/>
  <c r="J13" i="7"/>
  <c r="H13" i="7"/>
  <c r="Q12" i="7"/>
  <c r="L12" i="7"/>
  <c r="J12" i="7"/>
  <c r="H12" i="7"/>
  <c r="Q11" i="7"/>
  <c r="L11" i="7"/>
  <c r="J11" i="7"/>
  <c r="H11" i="7"/>
  <c r="Q10" i="7"/>
  <c r="L10" i="7"/>
  <c r="J10" i="7"/>
  <c r="H10" i="7"/>
  <c r="Q9" i="7"/>
  <c r="L9" i="7"/>
  <c r="J9" i="7"/>
  <c r="H9" i="7"/>
  <c r="Q8" i="7"/>
  <c r="L8" i="7"/>
  <c r="J8" i="7"/>
  <c r="H8" i="7"/>
  <c r="P17" i="6"/>
  <c r="H21" i="1" s="1"/>
  <c r="O17" i="6"/>
  <c r="G21" i="1" s="1"/>
  <c r="N17" i="6"/>
  <c r="B21" i="1" s="1"/>
  <c r="F21" i="1" s="1"/>
  <c r="Q16" i="6"/>
  <c r="M16" i="6"/>
  <c r="L16" i="6"/>
  <c r="J16" i="6"/>
  <c r="H16" i="6"/>
  <c r="Q15" i="6"/>
  <c r="M15" i="6"/>
  <c r="L15" i="6"/>
  <c r="J15" i="6"/>
  <c r="H15" i="6"/>
  <c r="Q14" i="6"/>
  <c r="M14" i="6"/>
  <c r="L14" i="6"/>
  <c r="J14" i="6"/>
  <c r="H14" i="6"/>
  <c r="Q13" i="6"/>
  <c r="M13" i="6"/>
  <c r="L13" i="6"/>
  <c r="J13" i="6"/>
  <c r="H13" i="6"/>
  <c r="Q12" i="6"/>
  <c r="M12" i="6"/>
  <c r="L12" i="6"/>
  <c r="J12" i="6"/>
  <c r="H12" i="6"/>
  <c r="Q11" i="6"/>
  <c r="M11" i="6"/>
  <c r="L11" i="6"/>
  <c r="J11" i="6"/>
  <c r="H11" i="6"/>
  <c r="Q10" i="6"/>
  <c r="Q9" i="6"/>
  <c r="Q8" i="6"/>
  <c r="H17" i="5"/>
  <c r="H14" i="1" s="1"/>
  <c r="G17" i="5"/>
  <c r="G14" i="1" s="1"/>
  <c r="F17" i="5"/>
  <c r="F14" i="1" s="1"/>
  <c r="I16" i="5"/>
  <c r="E16" i="5"/>
  <c r="I15" i="5"/>
  <c r="E15" i="5"/>
  <c r="I14" i="5"/>
  <c r="E14" i="5"/>
  <c r="I13" i="5"/>
  <c r="E13" i="5"/>
  <c r="I12" i="5"/>
  <c r="E12" i="5"/>
  <c r="I11" i="5"/>
  <c r="E11" i="5"/>
  <c r="I10" i="5"/>
  <c r="E10" i="5"/>
  <c r="I8" i="5"/>
  <c r="E8" i="5"/>
  <c r="H18" i="4"/>
  <c r="H13" i="1" s="1"/>
  <c r="G18" i="4"/>
  <c r="G13" i="1" s="1"/>
  <c r="F18" i="4"/>
  <c r="E13" i="1" s="1"/>
  <c r="E18" i="4"/>
  <c r="B13" i="1" s="1"/>
  <c r="D34" i="3"/>
  <c r="D33" i="3"/>
  <c r="D32" i="3"/>
  <c r="D31" i="3"/>
  <c r="D30" i="3"/>
  <c r="D29" i="3"/>
  <c r="W20" i="3"/>
  <c r="H12" i="1" s="1"/>
  <c r="V20" i="3"/>
  <c r="G12" i="1" s="1"/>
  <c r="H19" i="1"/>
  <c r="C40" i="15" l="1"/>
  <c r="E40" i="15" s="1"/>
  <c r="G40" i="15" s="1"/>
  <c r="H40" i="15" s="1"/>
  <c r="K39" i="15"/>
  <c r="C46" i="15"/>
  <c r="E46" i="15" s="1"/>
  <c r="G46" i="15" s="1"/>
  <c r="H46" i="15" s="1"/>
  <c r="K45" i="15"/>
  <c r="C28" i="15"/>
  <c r="E28" i="15" s="1"/>
  <c r="G28" i="15" s="1"/>
  <c r="H28" i="15" s="1"/>
  <c r="K27" i="15"/>
  <c r="C34" i="15"/>
  <c r="E34" i="15" s="1"/>
  <c r="G34" i="15" s="1"/>
  <c r="H34" i="15" s="1"/>
  <c r="K33" i="15"/>
  <c r="C10" i="15"/>
  <c r="E10" i="15" s="1"/>
  <c r="G10" i="15" s="1"/>
  <c r="H10" i="15" s="1"/>
  <c r="K9" i="15"/>
  <c r="G23" i="1"/>
  <c r="G24" i="1" s="1"/>
  <c r="M8" i="7"/>
  <c r="M12" i="7"/>
  <c r="M9" i="7"/>
  <c r="M13" i="7"/>
  <c r="M10" i="7"/>
  <c r="M14" i="7"/>
  <c r="M11" i="7"/>
  <c r="M15" i="7"/>
  <c r="K64" i="15"/>
  <c r="C65" i="15"/>
  <c r="E65" i="15" s="1"/>
  <c r="G65" i="15" s="1"/>
  <c r="H65" i="15" s="1"/>
  <c r="C66" i="15" s="1"/>
  <c r="E66" i="15" s="1"/>
  <c r="G66" i="15" s="1"/>
  <c r="H66" i="15" s="1"/>
  <c r="C52" i="15"/>
  <c r="E52" i="15" s="1"/>
  <c r="G52" i="15" s="1"/>
  <c r="H52" i="15" s="1"/>
  <c r="K51" i="15"/>
  <c r="C22" i="15"/>
  <c r="E22" i="15" s="1"/>
  <c r="G22" i="15" s="1"/>
  <c r="H22" i="15" s="1"/>
  <c r="K21" i="15"/>
  <c r="C71" i="15"/>
  <c r="E71" i="15" s="1"/>
  <c r="G71" i="15" s="1"/>
  <c r="H71" i="15" s="1"/>
  <c r="K70" i="15"/>
  <c r="S12" i="3"/>
  <c r="U12" i="3" s="1"/>
  <c r="X12" i="3" s="1"/>
  <c r="S9" i="3"/>
  <c r="U9" i="3" s="1"/>
  <c r="X9" i="3" s="1"/>
  <c r="H23" i="1"/>
  <c r="S19" i="3"/>
  <c r="U19" i="3" s="1"/>
  <c r="X19" i="3" s="1"/>
  <c r="B23" i="1"/>
  <c r="F23" i="1" s="1"/>
  <c r="I18" i="11"/>
  <c r="S15" i="3"/>
  <c r="U15" i="3" s="1"/>
  <c r="X15" i="3" s="1"/>
  <c r="E16" i="10"/>
  <c r="B18" i="1"/>
  <c r="J16" i="10"/>
  <c r="I21" i="1"/>
  <c r="E15" i="12"/>
  <c r="H15" i="12"/>
  <c r="E18" i="11"/>
  <c r="I18" i="9"/>
  <c r="E18" i="9"/>
  <c r="I17" i="8"/>
  <c r="E17" i="8"/>
  <c r="L16" i="7"/>
  <c r="Q17" i="6"/>
  <c r="H17" i="6"/>
  <c r="J17" i="6"/>
  <c r="I17" i="5"/>
  <c r="E17" i="5"/>
  <c r="I18" i="4"/>
  <c r="S14" i="3"/>
  <c r="U14" i="3" s="1"/>
  <c r="X14" i="3" s="1"/>
  <c r="S10" i="3"/>
  <c r="U10" i="3" s="1"/>
  <c r="S13" i="3"/>
  <c r="U13" i="3" s="1"/>
  <c r="X13" i="3" s="1"/>
  <c r="L20" i="3"/>
  <c r="R20" i="3"/>
  <c r="S11" i="3"/>
  <c r="U11" i="3" s="1"/>
  <c r="X11" i="3" s="1"/>
  <c r="I18" i="1"/>
  <c r="I14" i="1"/>
  <c r="H24" i="1"/>
  <c r="I17" i="1"/>
  <c r="J17" i="1" s="1"/>
  <c r="I19" i="1"/>
  <c r="I15" i="1"/>
  <c r="I16" i="1"/>
  <c r="F13" i="1"/>
  <c r="I20" i="1"/>
  <c r="I12" i="1"/>
  <c r="Q16" i="7"/>
  <c r="I22" i="1"/>
  <c r="H18" i="13"/>
  <c r="L17" i="6"/>
  <c r="H16" i="7"/>
  <c r="S8" i="3"/>
  <c r="U8" i="3" s="1"/>
  <c r="I13" i="1"/>
  <c r="J16" i="7"/>
  <c r="M17" i="6"/>
  <c r="C41" i="15" l="1"/>
  <c r="E41" i="15" s="1"/>
  <c r="G41" i="15" s="1"/>
  <c r="H41" i="15" s="1"/>
  <c r="K40" i="15"/>
  <c r="C47" i="15"/>
  <c r="E47" i="15" s="1"/>
  <c r="G47" i="15" s="1"/>
  <c r="H47" i="15" s="1"/>
  <c r="K46" i="15"/>
  <c r="C35" i="15"/>
  <c r="E35" i="15" s="1"/>
  <c r="G35" i="15" s="1"/>
  <c r="H35" i="15" s="1"/>
  <c r="K34" i="15"/>
  <c r="C29" i="15"/>
  <c r="E29" i="15" s="1"/>
  <c r="G29" i="15" s="1"/>
  <c r="H29" i="15" s="1"/>
  <c r="K28" i="15"/>
  <c r="C11" i="15"/>
  <c r="E11" i="15" s="1"/>
  <c r="G11" i="15" s="1"/>
  <c r="H11" i="15" s="1"/>
  <c r="K10" i="15"/>
  <c r="I23" i="1"/>
  <c r="J23" i="1" s="1"/>
  <c r="M16" i="7"/>
  <c r="X8" i="3"/>
  <c r="U20" i="3"/>
  <c r="E12" i="1" s="1"/>
  <c r="E24" i="1" s="1"/>
  <c r="K65" i="15"/>
  <c r="K52" i="15"/>
  <c r="C53" i="15"/>
  <c r="E53" i="15" s="1"/>
  <c r="G53" i="15" s="1"/>
  <c r="H53" i="15" s="1"/>
  <c r="C67" i="15"/>
  <c r="E67" i="15" s="1"/>
  <c r="G67" i="15" s="1"/>
  <c r="H67" i="15" s="1"/>
  <c r="K66" i="15"/>
  <c r="C72" i="15"/>
  <c r="E72" i="15" s="1"/>
  <c r="G72" i="15" s="1"/>
  <c r="H72" i="15" s="1"/>
  <c r="K71" i="15"/>
  <c r="C23" i="15"/>
  <c r="E23" i="15" s="1"/>
  <c r="G23" i="15" s="1"/>
  <c r="H23" i="15" s="1"/>
  <c r="K22" i="15"/>
  <c r="X10" i="3"/>
  <c r="T20" i="3"/>
  <c r="B12" i="1" s="1"/>
  <c r="F18" i="1"/>
  <c r="J18" i="1" s="1"/>
  <c r="J21" i="1"/>
  <c r="J19" i="1"/>
  <c r="J16" i="1"/>
  <c r="S20" i="3"/>
  <c r="J13" i="1"/>
  <c r="J15" i="1"/>
  <c r="J20" i="1"/>
  <c r="J14" i="1"/>
  <c r="J22" i="1"/>
  <c r="I24" i="1"/>
  <c r="K41" i="15" l="1"/>
  <c r="C42" i="15"/>
  <c r="E42" i="15" s="1"/>
  <c r="G42" i="15" s="1"/>
  <c r="H42" i="15" s="1"/>
  <c r="C48" i="15"/>
  <c r="E48" i="15" s="1"/>
  <c r="G48" i="15" s="1"/>
  <c r="H48" i="15" s="1"/>
  <c r="K47" i="15"/>
  <c r="K29" i="15"/>
  <c r="C30" i="15"/>
  <c r="E30" i="15" s="1"/>
  <c r="G30" i="15" s="1"/>
  <c r="H30" i="15" s="1"/>
  <c r="C36" i="15"/>
  <c r="E36" i="15" s="1"/>
  <c r="G36" i="15" s="1"/>
  <c r="H36" i="15" s="1"/>
  <c r="K35" i="15"/>
  <c r="K11" i="15"/>
  <c r="C12" i="15"/>
  <c r="E12" i="15" s="1"/>
  <c r="G12" i="15" s="1"/>
  <c r="H12" i="15" s="1"/>
  <c r="C24" i="15"/>
  <c r="E24" i="15" s="1"/>
  <c r="G24" i="15" s="1"/>
  <c r="H24" i="15" s="1"/>
  <c r="K23" i="15"/>
  <c r="C73" i="15"/>
  <c r="E73" i="15" s="1"/>
  <c r="G73" i="15" s="1"/>
  <c r="H73" i="15" s="1"/>
  <c r="K72" i="15"/>
  <c r="C68" i="15"/>
  <c r="E68" i="15" s="1"/>
  <c r="G68" i="15" s="1"/>
  <c r="H68" i="15" s="1"/>
  <c r="K68" i="15" s="1"/>
  <c r="K67" i="15"/>
  <c r="C54" i="15"/>
  <c r="E54" i="15" s="1"/>
  <c r="G54" i="15" s="1"/>
  <c r="H54" i="15" s="1"/>
  <c r="K53" i="15"/>
  <c r="X20" i="3"/>
  <c r="K42" i="15" l="1"/>
  <c r="C43" i="15"/>
  <c r="E43" i="15" s="1"/>
  <c r="G43" i="15" s="1"/>
  <c r="H43" i="15" s="1"/>
  <c r="K43" i="15" s="1"/>
  <c r="L44" i="15" s="1"/>
  <c r="C49" i="15"/>
  <c r="E49" i="15" s="1"/>
  <c r="G49" i="15" s="1"/>
  <c r="H49" i="15" s="1"/>
  <c r="K49" i="15" s="1"/>
  <c r="K48" i="15"/>
  <c r="C37" i="15"/>
  <c r="E37" i="15" s="1"/>
  <c r="G37" i="15" s="1"/>
  <c r="H37" i="15" s="1"/>
  <c r="K37" i="15" s="1"/>
  <c r="K36" i="15"/>
  <c r="C31" i="15"/>
  <c r="E31" i="15" s="1"/>
  <c r="G31" i="15" s="1"/>
  <c r="H31" i="15" s="1"/>
  <c r="K31" i="15" s="1"/>
  <c r="K30" i="15"/>
  <c r="C13" i="15"/>
  <c r="E13" i="15" s="1"/>
  <c r="G13" i="15" s="1"/>
  <c r="H13" i="15" s="1"/>
  <c r="K13" i="15" s="1"/>
  <c r="K12" i="15"/>
  <c r="L69" i="15"/>
  <c r="C74" i="15"/>
  <c r="E74" i="15" s="1"/>
  <c r="G74" i="15" s="1"/>
  <c r="H74" i="15" s="1"/>
  <c r="K74" i="15" s="1"/>
  <c r="K73" i="15"/>
  <c r="C25" i="15"/>
  <c r="E25" i="15" s="1"/>
  <c r="G25" i="15" s="1"/>
  <c r="H25" i="15" s="1"/>
  <c r="K25" i="15" s="1"/>
  <c r="K24" i="15"/>
  <c r="C55" i="15"/>
  <c r="E55" i="15" s="1"/>
  <c r="G55" i="15" s="1"/>
  <c r="H55" i="15" s="1"/>
  <c r="K55" i="15" s="1"/>
  <c r="K54" i="15"/>
  <c r="F12" i="1"/>
  <c r="B24" i="1"/>
  <c r="L50" i="15" l="1"/>
  <c r="L38" i="15"/>
  <c r="L32" i="15"/>
  <c r="L56" i="15"/>
  <c r="L14" i="15"/>
  <c r="L26" i="15"/>
  <c r="L75" i="15"/>
  <c r="L76" i="15" s="1"/>
  <c r="L77" i="15" s="1"/>
  <c r="L78" i="15" s="1"/>
  <c r="F24" i="1"/>
  <c r="J12" i="1"/>
  <c r="J24" i="1" s="1"/>
  <c r="D23" i="1"/>
  <c r="D13" i="1"/>
  <c r="D22" i="1"/>
  <c r="D12" i="1"/>
  <c r="D15" i="1"/>
  <c r="D16" i="1"/>
  <c r="D18" i="1"/>
  <c r="D20" i="1"/>
  <c r="D17" i="1"/>
  <c r="D19" i="1"/>
  <c r="D14" i="1"/>
  <c r="D21" i="1"/>
  <c r="L57" i="1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<sst xmlns="http://schemas.openxmlformats.org/spreadsheetml/2006/main" count="447" uniqueCount="213">
  <si>
    <t>Cuadro para personal vinculado con la Universidad El Bosque por Nomina 2025</t>
  </si>
  <si>
    <t xml:space="preserve">Categoria Docente </t>
  </si>
  <si>
    <t>Dedicacacion 
No. Horas</t>
  </si>
  <si>
    <t>Asig Inicial por hora</t>
  </si>
  <si>
    <t>Valor Prestaciones 51,842%</t>
  </si>
  <si>
    <t>Asignación Mensual</t>
  </si>
  <si>
    <t xml:space="preserve">% Aumento </t>
  </si>
  <si>
    <t>Valor Aumento</t>
  </si>
  <si>
    <t xml:space="preserve">Valor Mensual </t>
  </si>
  <si>
    <t>Meses</t>
  </si>
  <si>
    <t xml:space="preserve">Valor Hora </t>
  </si>
  <si>
    <t>Total Meses</t>
  </si>
  <si>
    <t>Acum. X Persona</t>
  </si>
  <si>
    <t>Docente/Investigador</t>
  </si>
  <si>
    <t>(Nombre del Investigador)</t>
  </si>
  <si>
    <t xml:space="preserve">INSTRUCTOR ASOCIADO </t>
  </si>
  <si>
    <t>PROFESOR ASISTENTE</t>
  </si>
  <si>
    <t xml:space="preserve">PROFESOR ASOCIADO </t>
  </si>
  <si>
    <t xml:space="preserve">PROFESOR TITULAR </t>
  </si>
  <si>
    <t>TOTAL UEB</t>
  </si>
  <si>
    <t>Categoria</t>
  </si>
  <si>
    <t>TOTAL LCMC</t>
  </si>
  <si>
    <t xml:space="preserve">TOTAL CONTRAPARTIDA </t>
  </si>
  <si>
    <t xml:space="preserve">TOTAL PROYECTO </t>
  </si>
  <si>
    <t>PROYECCIÓN PRESUPUESTAL - PROYECTOS CONVOCATORIA INTERNA</t>
  </si>
  <si>
    <t>Mecanismo de la convocatoria:</t>
  </si>
  <si>
    <t xml:space="preserve">Título del proyecto:   </t>
  </si>
  <si>
    <t xml:space="preserve">Investigador Principal: </t>
  </si>
  <si>
    <t>Correo de contacto:</t>
  </si>
  <si>
    <t xml:space="preserve">Numero de contacto: </t>
  </si>
  <si>
    <t>PRESUPUESTO GLOBAL DE LA PROPUESTA (LA INFORMACIÓN DE ESTA TABLA SE TRASLADA DE MANERA AUTOMÁTICA AL DILIGENCIAR LAS PESTAÑAS)</t>
  </si>
  <si>
    <t>Rubro</t>
  </si>
  <si>
    <t>Universidad El Bosque</t>
  </si>
  <si>
    <t>Total Universidad El Bosque</t>
  </si>
  <si>
    <t>Nombre de las entidades co-financiadoras</t>
  </si>
  <si>
    <t>Total entidades co-financiadoras</t>
  </si>
  <si>
    <t>Total proyecto</t>
  </si>
  <si>
    <t>Dinero 
(RECURSOS CONVOCATORIA INTERNA EFECTIVO)</t>
  </si>
  <si>
    <t>Tope recursos a solicitar</t>
  </si>
  <si>
    <t>%</t>
  </si>
  <si>
    <t>Especie</t>
  </si>
  <si>
    <t>Dinero</t>
  </si>
  <si>
    <t>Personal científico</t>
  </si>
  <si>
    <t>Equipos especializados</t>
  </si>
  <si>
    <t>Materiales y reactivos</t>
  </si>
  <si>
    <t>Salidas de campo</t>
  </si>
  <si>
    <t>Refrigerios</t>
  </si>
  <si>
    <t>Servicios técnicos</t>
  </si>
  <si>
    <t>Software</t>
  </si>
  <si>
    <t>Polízas para la realización de ensayos clínicos</t>
  </si>
  <si>
    <t>Apoyo a la producción científica o artística</t>
  </si>
  <si>
    <t>Apoyo a la difusión de resultados derivados de actividades de CTeI</t>
  </si>
  <si>
    <t>Otros</t>
  </si>
  <si>
    <t>Estrategia de divulgación</t>
  </si>
  <si>
    <t>Total</t>
  </si>
  <si>
    <t>Para completar la información financiera en la tabla, es necesario ingresar los datos en las pestañas correspondientes, desde donde se transferirán automáticamente a esta pestaña general. Si tiene dudas sobre el diligenciamiento de este documento, le recomendamos contactar al área administrativa y financiera de la UGPI a través del correo electrónico financiera.vri@unbosque.edu.co.</t>
  </si>
  <si>
    <t>Personal</t>
  </si>
  <si>
    <t>Nombre completo del Investigador</t>
  </si>
  <si>
    <t>Rol en el Proyecto (Investigador Principal - Co-Investigador - Joven Investigador)</t>
  </si>
  <si>
    <t>Unidad Academica</t>
  </si>
  <si>
    <t xml:space="preserve">Categoría o Escalafón </t>
  </si>
  <si>
    <t>Tipo de Vinculación (Laboral
Prestacion de Servicios
Ad-honorem)</t>
  </si>
  <si>
    <t xml:space="preserve">Función/Justificación </t>
  </si>
  <si>
    <t>Cantidad</t>
  </si>
  <si>
    <t>Meses de dedicación</t>
  </si>
  <si>
    <t>Dedicación Hr/semana</t>
  </si>
  <si>
    <t>Año 1</t>
  </si>
  <si>
    <t>Año 2</t>
  </si>
  <si>
    <t>Año 3</t>
  </si>
  <si>
    <t>Nombre de entidad co-ejecutora</t>
  </si>
  <si>
    <t xml:space="preserve">Valor  mensual </t>
  </si>
  <si>
    <t>Valor total en especie</t>
  </si>
  <si>
    <r>
      <t xml:space="preserve">Dinero 
</t>
    </r>
    <r>
      <rPr>
        <b/>
        <sz val="10"/>
        <color rgb="FFFF0000"/>
        <rFont val="Tahoma"/>
        <family val="2"/>
      </rPr>
      <t xml:space="preserve">(RECURSOS CONVOCATORIA INTERNA </t>
    </r>
    <r>
      <rPr>
        <b/>
        <u/>
        <sz val="10"/>
        <color rgb="FFFF0000"/>
        <rFont val="Tahoma"/>
        <family val="2"/>
      </rPr>
      <t>EFECTIVO</t>
    </r>
    <r>
      <rPr>
        <b/>
        <sz val="10"/>
        <color rgb="FFFF0000"/>
        <rFont val="Tahoma"/>
        <family val="2"/>
      </rPr>
      <t>)</t>
    </r>
  </si>
  <si>
    <r>
      <t xml:space="preserve">Especie
</t>
    </r>
    <r>
      <rPr>
        <b/>
        <sz val="10"/>
        <color rgb="FFEE0000"/>
        <rFont val="Tahoma"/>
        <family val="2"/>
      </rPr>
      <t xml:space="preserve">(RECURSOS CONVOCATORIA INTERNA </t>
    </r>
    <r>
      <rPr>
        <b/>
        <u/>
        <sz val="10"/>
        <color rgb="FFEE0000"/>
        <rFont val="Tahoma"/>
        <family val="2"/>
      </rPr>
      <t>ESPECIE</t>
    </r>
    <r>
      <rPr>
        <b/>
        <sz val="10"/>
        <color rgb="FFEE0000"/>
        <rFont val="Tahoma"/>
        <family val="2"/>
      </rPr>
      <t>)</t>
    </r>
  </si>
  <si>
    <r>
      <t>El calculo en especie se realiza tomando su sueldo según su categoría o escalafón docente, se divide en 40 horas y se multiplica por las horas semanales de dedicación al proyecto (ver pestaña BASES PERSONAL),</t>
    </r>
    <r>
      <rPr>
        <b/>
        <sz val="10"/>
        <color theme="1"/>
        <rFont val="Tahoma"/>
        <family val="2"/>
      </rPr>
      <t xml:space="preserve"> proyectada a 11 meses por año.</t>
    </r>
  </si>
  <si>
    <t>Salario Mínimo Vigente 2025</t>
  </si>
  <si>
    <t>Incremento IPC sugerido</t>
  </si>
  <si>
    <t xml:space="preserve"> Salarios Prestación de Servicios</t>
  </si>
  <si>
    <t xml:space="preserve">Formación </t>
  </si>
  <si>
    <t>SMLV</t>
  </si>
  <si>
    <t>Experiencia</t>
  </si>
  <si>
    <t>Valor</t>
  </si>
  <si>
    <t>Técnico</t>
  </si>
  <si>
    <t xml:space="preserve">1 a 5 años </t>
  </si>
  <si>
    <t>Tecnólogo</t>
  </si>
  <si>
    <t>Profesional</t>
  </si>
  <si>
    <t>Especialista</t>
  </si>
  <si>
    <t>Magister</t>
  </si>
  <si>
    <t>Doctorado</t>
  </si>
  <si>
    <t xml:space="preserve">Equipos </t>
  </si>
  <si>
    <t>Equipo</t>
  </si>
  <si>
    <t>Justificación</t>
  </si>
  <si>
    <t xml:space="preserve">Cantidad </t>
  </si>
  <si>
    <t>Valor Unitario</t>
  </si>
  <si>
    <r>
      <t xml:space="preserve">Dinero 
</t>
    </r>
    <r>
      <rPr>
        <b/>
        <sz val="10"/>
        <color rgb="FFFF0000"/>
        <rFont val="Tahoma"/>
        <family val="2"/>
      </rPr>
      <t>(RECURSOS CONVOCATORIA INTERNA EFECTIVO)</t>
    </r>
  </si>
  <si>
    <t>Materiales consumibles e insumos</t>
  </si>
  <si>
    <t>Materiales</t>
  </si>
  <si>
    <t>Total:</t>
  </si>
  <si>
    <t>Salidas de Campo</t>
  </si>
  <si>
    <t>Lugar</t>
  </si>
  <si>
    <t xml:space="preserve">Cantidad de Personas </t>
  </si>
  <si>
    <t xml:space="preserve">N° Viajes </t>
  </si>
  <si>
    <t xml:space="preserve">N° Dias </t>
  </si>
  <si>
    <t xml:space="preserve">N° de Noche </t>
  </si>
  <si>
    <t>Transporte - Pasajes
(COP)</t>
  </si>
  <si>
    <t>Total Transporte - Pasajes
(COP)</t>
  </si>
  <si>
    <t xml:space="preserve">Viaticos o gastos de viaje
(COP) </t>
  </si>
  <si>
    <t xml:space="preserve">Total Viaticos o gastos de viaje
(COP) </t>
  </si>
  <si>
    <t>Estadía
(COP)</t>
  </si>
  <si>
    <t>Total Estadía
(COP)</t>
  </si>
  <si>
    <t>Total viaje</t>
  </si>
  <si>
    <t>Nombre de entidad co-ejecutora
Dinero</t>
  </si>
  <si>
    <t>TOTAL</t>
  </si>
  <si>
    <t>Valores de Referencia</t>
  </si>
  <si>
    <t>Destino</t>
  </si>
  <si>
    <t xml:space="preserve">Tiquetes </t>
  </si>
  <si>
    <t>Gastos de Viajes</t>
  </si>
  <si>
    <t>Hospedaje</t>
  </si>
  <si>
    <t xml:space="preserve">Nacional-Ciudades Princiales </t>
  </si>
  <si>
    <t>Nacional-Otras</t>
  </si>
  <si>
    <t>USA-Centro América</t>
  </si>
  <si>
    <t>EUROPA</t>
  </si>
  <si>
    <t>LATAM</t>
  </si>
  <si>
    <t>Descripción</t>
  </si>
  <si>
    <t>TOTALES</t>
  </si>
  <si>
    <t xml:space="preserve">Especie </t>
  </si>
  <si>
    <t>Nombre del software</t>
  </si>
  <si>
    <t xml:space="preserve"> </t>
  </si>
  <si>
    <t>Nombre de la publicación</t>
  </si>
  <si>
    <t>Concepto</t>
  </si>
  <si>
    <t>Publicación de Artículos Q1</t>
  </si>
  <si>
    <t>Publicación de Artículos Q2</t>
  </si>
  <si>
    <t>Publicación de Artículos Q3</t>
  </si>
  <si>
    <t xml:space="preserve">Traducción </t>
  </si>
  <si>
    <t>Corrección de estilo</t>
  </si>
  <si>
    <t>Lugar/Evento</t>
  </si>
  <si>
    <t>Estrategia de Divulgación</t>
  </si>
  <si>
    <t>Otros gastos</t>
  </si>
  <si>
    <t xml:space="preserve">Pólizas para la realización de Ensayos Clínicos </t>
  </si>
  <si>
    <t xml:space="preserve">Este rubro deberá usarse para pagar la póliza todo riesgo que ampare el cubrimiento de los perjuicios que se generen en la ejecución de los proyectos de investigación que correspondan a ensayos clínicos sin medicamentos. La aseguradora definirá el valor de la póliza teniendo en cuenta los riesgos para participantes en los ensayos clínicos. Es importante recordar que la Universidad El Bosque cuenta con una Póliza de Responsabilidad civil Extracontractual que ampara los perjuicios patrimoniales contractuales y extracontractuales de todas las investigaciones que se realicen en la Institución donde participan sujetos humanos, pero excluyendo cualquier tipo de ensayo clínico. </t>
  </si>
  <si>
    <t xml:space="preserve">La financiación se destinará a la conceptualización, producción y edición de contenidos (videos, cápsulas, podcasts, infografías y textos), excluyendo asesorías de diseño, reclutamiento, socialización de resultados y logística, que se gestionan de forma independiente. Su objetivo es maximizar el impacto mediante estrategias transmedia y difusión en múltiples canales digitales. En el caso de que la Unidad de Divulgación y Cultura Científica (UDCC) de la Vicerrectoría de Investigaciones de la Universidad El Bosque cuente con la oferta del servicio se deberá privilegiar su selección por encima de terceros externos.  </t>
  </si>
  <si>
    <t xml:space="preserve">En este rubro solamente se pueden incluir gastos de envío de muestras, pago de tasas en el marco del permiso de colecta, licencias ambientales y gastos de correspondencia.  Se excluye de la financiación todo gasto de operación indirecto tipo telefonía móvil, servicios públicos, pagos de matrícula, entre otros. </t>
  </si>
  <si>
    <t xml:space="preserve">Eventos especializados. En este rubro se podrán incorporar los gastos asociados a la inscripción y movilización para la participación como ponente en eventos científicos, con el propósito de presentar los resultados obtenidos en el proceso de investigación. </t>
  </si>
  <si>
    <t xml:space="preserve">* Apoyo a la traducción de textos científicos. Este rubro podrá ser destinado al pago del servicio de traducción y edición de documentos científicos a publicar (libros, capítulos de libro, artículos científicos a publicar en revistas indexadas en WoS o Scopus).
* Pago de tasas para publicación. Se financiará el pago de las tasas para efectos de publicación de los artículos en revistas indexadas en ISI o Scopus de carácter no depredador.
* Producción en Arte, Arquitectura y Diseño -AAD-. Para los productos de AAD tipo Top o A bajo este rubro se podrá financiar el pago de apoyo para la producción o divulgación de obras.  </t>
  </si>
  <si>
    <r>
      <t xml:space="preserve">Podrá financiarse la compra o renovación de licencias con plena justificación y en línea con el diseño metodológico estipulado en la propuesta.  
</t>
    </r>
    <r>
      <rPr>
        <b/>
        <sz val="10"/>
        <color theme="1"/>
        <rFont val="Tahoma"/>
        <family val="2"/>
      </rPr>
      <t xml:space="preserve">Nota: </t>
    </r>
    <r>
      <rPr>
        <sz val="10"/>
        <color theme="1"/>
        <rFont val="Tahoma"/>
        <family val="2"/>
      </rPr>
      <t xml:space="preserve">
* Tenga en cuenta que para la adquisición de cualquier software se deberá contar con el VoBo de la Dirección de Tecnología. 
* Tenga en cuenta que la instalación de software se debe realizar en un equipo institucional 
* Para indicar en especie el uso de las licencias deben revisar con el Departamento de Tecnología que la licencia si este disponible.</t>
    </r>
  </si>
  <si>
    <r>
      <t xml:space="preserve">Corresponde a contrataciones que se hacen para la prestación de servicios especializados y cuya necesidad esté debidamente justificada, por ejemplo, metodologías que requieren el acceso a equipos de alta gama y para las cuales el grupo de investigación no cuenta con la capacidad instalada. Por lo anterior, podrá realizarse la contratación de personas naturales o jurídicas diferentes a las vinculadas en la propuesta para la prestación de servicios calificados profesionales, técnicos o de apoyo. En el caso de que la Universidad El Bosque o la IPS Salud Bosque cuenten con la oferta del servicio (modalidad prestación de servicios), se deberá privilegiar su selección por encima de terceros externos.   
</t>
    </r>
    <r>
      <rPr>
        <b/>
        <sz val="10"/>
        <color theme="1"/>
        <rFont val="Tahoma"/>
        <family val="2"/>
      </rPr>
      <t>Nota:</t>
    </r>
    <r>
      <rPr>
        <sz val="10"/>
        <color theme="1"/>
        <rFont val="Tahoma"/>
        <family val="2"/>
      </rPr>
      <t xml:space="preserve">
* En el caso de considerar contratar servicios en moneda extranjera, se sugiere realizar los ajustes correspondientes en el presupuesto, con el fin de evitar déficit al momento de realizar la ejecución. 
* Para servicios internacionales, es necesario tener en cuenta la retención de la fuente del 20% (ej: análisis de laboratorio).  </t>
    </r>
  </si>
  <si>
    <r>
      <t xml:space="preserve">Únicamente se financiará este rubro para aquellas investigaciones que </t>
    </r>
    <r>
      <rPr>
        <u/>
        <sz val="10"/>
        <rFont val="Tahoma"/>
        <family val="2"/>
      </rPr>
      <t>involucren procesos de participación comunitaria</t>
    </r>
    <r>
      <rPr>
        <sz val="10"/>
        <rFont val="Tahoma"/>
        <family val="2"/>
      </rPr>
      <t xml:space="preserve">. Se entiende por refrigerio el suministro de pequeñas porciones de comida. Tenga en cuenta que no es ético condicionar la participación de la comunidad a cambio de incentivos. Abstenerse de solicitar este rubro para la financiación de alimentación (desayuno, onces, almuerzo o cena) de los investigadores en reuniones de trabajo y para la alimentación de la población objeto de estudio. </t>
    </r>
  </si>
  <si>
    <t xml:space="preserve">Gastos de viaje, transporte y estadía destinados exclusivamente a aquellas actividades que contemplan la recolección de muestras, entrevistas a poblaciones definidas, aplicación de instrumentos y demás actividades justificadas para el desarrollo de la propuesta que requieren desplazamiento dentro o fuera de Bogotá. Se aclara que, durante la ejecución de la propuesta, los gastos correspondientes a este rubro deberán soportarse con las respectivas facturas, únicamente del (los) sitio(s) de salida(s) de campo planteados en la metodología. </t>
  </si>
  <si>
    <r>
      <t xml:space="preserve">Insumos, consumibles y reactivos necesarios para el desarrollo de la investigación.  
</t>
    </r>
    <r>
      <rPr>
        <b/>
        <sz val="10"/>
        <color theme="1"/>
        <rFont val="Tahoma"/>
        <family val="2"/>
      </rPr>
      <t xml:space="preserve">Notas:  </t>
    </r>
    <r>
      <rPr>
        <sz val="10"/>
        <color theme="1"/>
        <rFont val="Tahoma"/>
        <family val="2"/>
      </rPr>
      <t xml:space="preserve">
* En el caso de considerar compras o contratar servicios en moneda extranjera, se sugiere realizar los ajustes correspondientes en el presupuesto, con el fin de evitar déficit al momento de realizar la ejecución. 
* Las propuestas que involucren el uso de sustancias químicas controladas (ver documento de consulta “Sustancias químicas controladas”), deberán especificar con exactitud la concentración y la cantidad requeridas durante todo el tiempo de ejecución. Lo anterior, acorde con la normativa nacional legal vigente. </t>
    </r>
  </si>
  <si>
    <r>
      <t xml:space="preserve">Podrá solicitarse la compra de equipos, siempre y cuando respondan a la metodología planteada y fortalezcan futuros desarrollos en investigación. La compra de equipos deberá contar con el visto bueno de las respectivas coordinaciones de investigación de las unidades académicas, por lo tanto, deberán garantizar las instalaciones y las condiciones de ubicación, almacenamiento y mantenimiento de los equipos adquiridos.  
</t>
    </r>
    <r>
      <rPr>
        <b/>
        <sz val="10"/>
        <color rgb="FF000000"/>
        <rFont val="Tahoma"/>
        <family val="2"/>
      </rPr>
      <t>Notas:</t>
    </r>
    <r>
      <rPr>
        <sz val="10"/>
        <color rgb="FF000000"/>
        <rFont val="Tahoma"/>
        <family val="2"/>
      </rPr>
      <t xml:space="preserve">  
● Al momento de solicitar la compra de equipos, deberá considerarse en la proyección del presupuesto los costos de impuestos, aranceles o bodegaje, en el caso que corresponda.  
● En el caso de considerar compras de equipos en moneda extranjera (dólares, euros, francos etc), se sugiere realizar los ajustes correspondientes en el presupuesto, con el fin de evitar déficit al momento de realizar la ejecución. </t>
    </r>
  </si>
  <si>
    <t>* Pago de horas docentes para apoyo a la ejecución del proyecto.
* Vinculación de profesionales menores a 28 años, recién egresados (máximo 3 años anteriores al cierre de la convocatoria) de la Universidad El Bosque a través de la figura de joven investigador.
* Vinculación de estudiantes auxiliares de posgrado de la Universidad El Bosque.</t>
  </si>
  <si>
    <t>Diligenciar unicamente los campos resaltados en color naranja</t>
  </si>
  <si>
    <t>N/A</t>
  </si>
  <si>
    <r>
      <rPr>
        <b/>
        <sz val="10"/>
        <color rgb="FF000000"/>
        <rFont val="Tahoma"/>
        <family val="2"/>
      </rPr>
      <t>Especie UEB:</t>
    </r>
    <r>
      <rPr>
        <sz val="10"/>
        <color rgb="FF000000"/>
        <rFont val="Tahoma"/>
        <family val="2"/>
      </rPr>
      <t xml:space="preserve"> Valor de uso de los equipos que se tienen disponibles para la investigación</t>
    </r>
  </si>
  <si>
    <t>Investigación avanzada</t>
  </si>
  <si>
    <t>Bertha Patricia Calderón Ortiz</t>
  </si>
  <si>
    <t>Lina Maria Rodríguez Granada</t>
  </si>
  <si>
    <t>Juan David Leongómez Peña</t>
  </si>
  <si>
    <t>Milena Vásquez Amézquita</t>
  </si>
  <si>
    <t>María Catalina Bages Mesa</t>
  </si>
  <si>
    <t>Adriana María Cristancho Arévalo</t>
  </si>
  <si>
    <t>Nicolás Ignacio Ramos Rodríguez</t>
  </si>
  <si>
    <t>Ruth Stella Chacon Pinilla</t>
  </si>
  <si>
    <t>Luz Helena Buitrago León</t>
  </si>
  <si>
    <t xml:space="preserve">Funciones evolutivas del habla dirigida a bebés: Impacto en la atención, las preferencias auditivas y el desarrollo lingüístico y musical temprano </t>
  </si>
  <si>
    <t>jleongomez@unbosque.edu.co</t>
  </si>
  <si>
    <t>319 407 7102</t>
  </si>
  <si>
    <t>Milena Vásquez-Amézquita</t>
  </si>
  <si>
    <t>Daniel Toro Avila</t>
  </si>
  <si>
    <t>Natalia Moreno-Buitrago</t>
  </si>
  <si>
    <t>David A. Puts</t>
  </si>
  <si>
    <t>Investigador Principal</t>
  </si>
  <si>
    <t>Facultad de Psicología</t>
  </si>
  <si>
    <t>Profesor Asociado</t>
  </si>
  <si>
    <t>Laboral</t>
  </si>
  <si>
    <t>Diseño, análisis y modelado estadístico, manipulación acústica, análisis acústico, dirección general, coordinación, supervisión de análisis, escritura de publicaciones y actividades de divulgación.</t>
  </si>
  <si>
    <t>Co-Investigadora</t>
  </si>
  <si>
    <t>Profesor Asociada</t>
  </si>
  <si>
    <t>Coordinación de estudios con eye-tracking, apoyo en análisis, supervisión de semillero SexCog y 1 trabajo de grado, publicaciones.</t>
  </si>
  <si>
    <t>Co-Investigador</t>
  </si>
  <si>
    <t>Facultad de Medicina</t>
  </si>
  <si>
    <t>Profesor Titular</t>
  </si>
  <si>
    <t>Propuestas de posibles aplicaciones clínicas y/o recomendaciones a cuidadores de bebés a partir de resultados. Reclutamiento de participantes.</t>
  </si>
  <si>
    <t>Profesora Titular</t>
  </si>
  <si>
    <t>Externo (Independiente)</t>
  </si>
  <si>
    <t>NA</t>
  </si>
  <si>
    <t>Externo (colaboración personal)</t>
  </si>
  <si>
    <t>Facultad de Educación</t>
  </si>
  <si>
    <t xml:space="preserve">Profesora Titular </t>
  </si>
  <si>
    <t>Apoyo teórico en educación infantil, supervisión estudiante de maestría, actividades de divulgación, publicaciones.</t>
  </si>
  <si>
    <t>Profesora Asistente</t>
  </si>
  <si>
    <t>Bases teóricas desde psicología de la música, supervisión semillero Música y Psicología, actividades de divulgación, apoyo en análisis de Estudio 2 y publicaciones.</t>
  </si>
  <si>
    <t>Apoyo teórico en desarrollo infantil, supervisión estudiante de especialización, actividades de divulgación, publicaciones.</t>
  </si>
  <si>
    <t>Externo (Ohio State University)</t>
  </si>
  <si>
    <t>Apoyo para la medición de habilidades musicales y lingüísticas</t>
  </si>
  <si>
    <t>Externo (Pennsylvania State University)</t>
  </si>
  <si>
    <t>Apoyo al diseño general, análisis y manipulación acústica</t>
  </si>
  <si>
    <t>EyeLink 1000 Plus</t>
  </si>
  <si>
    <t>Sistema de rastreo ocular de alta precisión, ideal para estudios con bebés gracias a su módulo remoto y montaje flexible, pero también apto para participantes de cualquier edad. Permite medir atención visual y respuestas pupilares en tareas audiovisuales. Incluye estación de trabajo, software y soporte técnico.
El valor estimado para la compra del equipo (CA$47.430) fue convertido a pesos colombianos con una tasa de cambio proyectada de $3.600 COP por dólar canadiense, teniendo en cuenta posibles variaciones (+20%) en el tipo de cambio durante la ejecución del proyecto. Además, se adicionó un 40% sobre el valor resultante en pesos para cubrir costos relacionados con importación, impuestos, aranceles, nacionalización y bodegaje, según lo recomendado por la VRI.</t>
  </si>
  <si>
    <t>Refrigerios para madres participantes en el Estudio 1</t>
  </si>
  <si>
    <t>Se entregará un refrigerio y se reconocerá el transporte a cada madre al finalizar su sesión de participación con su bebé en el laboratorio, como parte de una estrategia de participación comunitaria que reconozca el esfuerzo de transportarse y asistir con un lactante. El valor estimado por refrigerio y transporte es de COP$40.000. Aunque se proyecta una muestra de 160 díadas, se calculan 200 refrigerios considerando que en algunos casos los datos no serán utilizables (por ejemplo, por llanto, somnolencia o fallos técnicos), y se requerirá invitar a más familias para completar la muestra planificada.</t>
  </si>
  <si>
    <t>Honorarios para apoyo en la recolección de datos del Estudio 1</t>
  </si>
  <si>
    <t>Contratación por prestación de servicios de una persona con experiencia en el trabajo con bebés y sus cuidadores, encargada de apoyar la recolección de datos en entornos controlados. Su labor incluye recibir a las familias, asistir en el manejo y posicionamiento de los bebés durante las tareas, asegurar condiciones óptimas para la medición con eye-tracker, y acompañar a las madres durante la sesión. Se proyecta un pago mensual de COP$2.000.000, acorde con funciones especializadas de acompañamiento en primera infancia, y perfiles como auxiliar de enfermería o profesional en educación infantil.</t>
  </si>
  <si>
    <t>Evento internacional – Latinoamérica (por definir)</t>
  </si>
  <si>
    <t>Participación como ponente en evento internacional en América Latina, por definir según afinidad temática y momento de avance del proyecto.</t>
  </si>
  <si>
    <t>Evento internacional – Europa (por definir)</t>
  </si>
  <si>
    <t>Participación como ponente en evento internacional en Europa, por definir según resultados obtenidos y oportunidades de difusión científica.</t>
  </si>
  <si>
    <t>Evento nacional – ciudad principal (por definir)</t>
  </si>
  <si>
    <t>Participación como ponente en evento académico nacional, por definir según pertinencia temática y calendario académico del año de ejecución.</t>
  </si>
  <si>
    <t>Sitio web con información sobre IDS para madres, padres, cuidadores y personal de salud.</t>
  </si>
  <si>
    <t>Diseño e implementación de un sitio web informativo con contenidos accesibles sobre el habla dirigida a bebés (IDS), dirigido a madres, padres, cuidadores y personal de salud. Incluirá secciones sobre los beneficios de la IDS, materiales visuales y enlaces a recursos de divulgación. El valor cubre el dominio, el alojamiento y el desarrollo inicial del sitio.</t>
  </si>
  <si>
    <t xml:space="preserve">Video/podcast sobre el vínculo afectivo y la IDS, las formas de la IDS y la pertinencia de abordaje desde el contexto familiar.  </t>
  </si>
  <si>
    <t>Producción de video/podcast orientado a divulgar de forma clara y atractiva la importancia del habla dirigida a bebés, su vínculo con el afecto y su expresión en el entorno familiar. El valor cubre la escritura de guión, grabación, edición, diseño gráfico y publicación en plataformas accesibles.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</si>
</sst>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
    <numFmt numFmtId="165" formatCode="_(* #,##0_);_(* \(#,##0\);_(* &quot;-&quot;??_);_(@_)"/>
    <numFmt numFmtId="166" formatCode="#,##0.000"/>
  </numFmts>
  <fonts count="33" x14ac:knownFonts="1">
    <font>
      <sz val="10"/>
      <color rgb="FF000000"/>
      <name val="Arial"/>
      <scheme val="minor"/>
    </font>
    <font>
      <b/>
      <sz val="10"/>
      <color theme="0"/>
      <name val="Tahoma"/>
      <family val="2"/>
    </font>
    <font>
      <sz val="10"/>
      <name val="Arial"/>
      <family val="2"/>
    </font>
    <font>
      <b/>
      <sz val="10"/>
      <color theme="1"/>
      <name val="Tahoma"/>
      <family val="2"/>
    </font>
    <font>
      <sz val="10"/>
      <color theme="1"/>
      <name val="Tahoma"/>
      <family val="2"/>
    </font>
    <font>
      <sz val="10"/>
      <color theme="1"/>
      <name val="Arial"/>
      <family val="2"/>
    </font>
    <font>
      <b/>
      <sz val="10"/>
      <color rgb="FFFF0000"/>
      <name val="Tahoma"/>
      <family val="2"/>
    </font>
    <font>
      <sz val="10"/>
      <color rgb="FF000000"/>
      <name val="Tahoma"/>
      <family val="2"/>
    </font>
    <font>
      <b/>
      <sz val="9"/>
      <color theme="0"/>
      <name val="Tahoma"/>
      <family val="2"/>
    </font>
    <font>
      <i/>
      <sz val="10"/>
      <color theme="1"/>
      <name val="Tahoma"/>
      <family val="2"/>
    </font>
    <font>
      <b/>
      <i/>
      <sz val="10"/>
      <color theme="1"/>
      <name val="Tahoma"/>
      <family val="2"/>
    </font>
    <font>
      <b/>
      <i/>
      <u/>
      <sz val="10"/>
      <color theme="1"/>
      <name val="Tahoma"/>
      <family val="2"/>
    </font>
    <font>
      <sz val="10"/>
      <color rgb="FF000000"/>
      <name val="Arial"/>
      <family val="2"/>
    </font>
    <font>
      <sz val="10"/>
      <color rgb="FFFF0000"/>
      <name val="Tahoma"/>
      <family val="2"/>
    </font>
    <font>
      <b/>
      <sz val="10"/>
      <color rgb="FF000000"/>
      <name val="Tahoma"/>
      <family val="2"/>
    </font>
    <font>
      <i/>
      <sz val="10"/>
      <color rgb="FFFF0000"/>
      <name val="Tahoma"/>
      <family val="2"/>
    </font>
    <font>
      <sz val="10"/>
      <color rgb="FF000000"/>
      <name val="Arial"/>
      <family val="2"/>
      <scheme val="minor"/>
    </font>
    <font>
      <b/>
      <sz val="10"/>
      <name val="Arial"/>
      <family val="2"/>
    </font>
    <font>
      <sz val="10"/>
      <color rgb="FFFF0000"/>
      <name val="Arial"/>
      <family val="2"/>
    </font>
    <font>
      <b/>
      <sz val="14"/>
      <color rgb="FFFF0000"/>
      <name val="Arial"/>
      <family val="2"/>
      <scheme val="minor"/>
    </font>
    <font>
      <sz val="14"/>
      <color rgb="FF000000"/>
      <name val="Arial"/>
      <family val="2"/>
      <scheme val="minor"/>
    </font>
    <font>
      <b/>
      <sz val="14"/>
      <color theme="0"/>
      <name val="Tahoma"/>
      <family val="2"/>
    </font>
    <font>
      <b/>
      <sz val="10"/>
      <color rgb="FF000000"/>
      <name val="Arial"/>
      <family val="2"/>
      <scheme val="minor"/>
    </font>
    <font>
      <b/>
      <i/>
      <sz val="10"/>
      <color theme="0"/>
      <name val="Tahoma"/>
      <family val="2"/>
    </font>
    <font>
      <b/>
      <i/>
      <u/>
      <sz val="9"/>
      <color theme="1"/>
      <name val="Tahoma"/>
      <family val="2"/>
    </font>
    <font>
      <sz val="10"/>
      <color theme="0"/>
      <name val="Arial"/>
      <family val="2"/>
      <scheme val="minor"/>
    </font>
    <font>
      <b/>
      <sz val="10"/>
      <color rgb="FFEE0000"/>
      <name val="Tahoma"/>
      <family val="2"/>
    </font>
    <font>
      <b/>
      <u/>
      <sz val="10"/>
      <color rgb="FFEE0000"/>
      <name val="Tahoma"/>
      <family val="2"/>
    </font>
    <font>
      <b/>
      <u/>
      <sz val="10"/>
      <color rgb="FFFF0000"/>
      <name val="Tahoma"/>
      <family val="2"/>
    </font>
    <font>
      <sz val="10"/>
      <name val="Tahoma"/>
      <family val="2"/>
    </font>
    <font>
      <b/>
      <i/>
      <sz val="10"/>
      <name val="Tahoma"/>
      <family val="2"/>
    </font>
    <font>
      <u/>
      <sz val="10"/>
      <name val="Tahoma"/>
      <family val="2"/>
    </font>
    <font>
      <sz val="10"/>
      <color theme="0"/>
      <name val="Tahoma"/>
      <family val="2"/>
    </font>
  </fonts>
  <fills count="22">
    <fill>
      <patternFill patternType="none"/>
    </fill>
    <fill>
      <patternFill patternType="gray125"/>
    </fill>
    <fill>
      <patternFill patternType="solid">
        <fgColor rgb="FF7F7F7F"/>
        <bgColor rgb="FF7F7F7F"/>
      </patternFill>
    </fill>
    <fill>
      <patternFill patternType="solid">
        <fgColor theme="0"/>
        <bgColor theme="0"/>
      </patternFill>
    </fill>
    <fill>
      <patternFill patternType="solid">
        <fgColor theme="4"/>
        <bgColor theme="4"/>
      </patternFill>
    </fill>
    <fill>
      <patternFill patternType="solid">
        <fgColor rgb="FFD8D8D8"/>
        <bgColor rgb="FFD8D8D8"/>
      </patternFill>
    </fill>
    <fill>
      <patternFill patternType="solid">
        <fgColor rgb="FFBFBFBF"/>
        <bgColor rgb="FFBFBFBF"/>
      </patternFill>
    </fill>
    <fill>
      <patternFill patternType="solid">
        <fgColor rgb="FF00B0F0"/>
        <bgColor rgb="FF00B0F0"/>
      </patternFill>
    </fill>
    <fill>
      <patternFill patternType="solid">
        <fgColor rgb="FFA5A5A5"/>
        <bgColor rgb="FFA5A5A5"/>
      </patternFill>
    </fill>
    <fill>
      <patternFill patternType="solid">
        <fgColor theme="2" tint="-0.14999847407452621"/>
        <bgColor theme="0"/>
      </patternFill>
    </fill>
    <fill>
      <patternFill patternType="solid">
        <fgColor theme="4" tint="0.79998168889431442"/>
        <bgColor indexed="64"/>
      </patternFill>
    </fill>
    <fill>
      <patternFill patternType="solid">
        <fgColor theme="4" tint="0.79998168889431442"/>
        <bgColor theme="0"/>
      </patternFill>
    </fill>
    <fill>
      <patternFill patternType="solid">
        <fgColor theme="6" tint="0.59999389629810485"/>
        <bgColor rgb="FFD8D8D8"/>
      </patternFill>
    </fill>
    <fill>
      <patternFill patternType="solid">
        <fgColor theme="6" tint="0.59999389629810485"/>
        <bgColor indexed="64"/>
      </patternFill>
    </fill>
    <fill>
      <patternFill patternType="solid">
        <fgColor theme="6" tint="0.79998168889431442"/>
        <bgColor theme="0"/>
      </patternFill>
    </fill>
    <fill>
      <patternFill patternType="solid">
        <fgColor theme="6" tint="-0.249977111117893"/>
        <bgColor theme="0"/>
      </patternFill>
    </fill>
    <fill>
      <patternFill patternType="solid">
        <fgColor theme="6" tint="0.59999389629810485"/>
        <bgColor theme="0"/>
      </patternFill>
    </fill>
    <fill>
      <patternFill patternType="solid">
        <fgColor theme="2" tint="-0.249977111117893"/>
        <bgColor theme="0"/>
      </patternFill>
    </fill>
    <fill>
      <patternFill patternType="solid">
        <fgColor theme="9" tint="0.59999389629810485"/>
        <bgColor indexed="64"/>
      </patternFill>
    </fill>
    <fill>
      <patternFill patternType="solid">
        <fgColor theme="9" tint="0.59999389629810485"/>
        <bgColor theme="0"/>
      </patternFill>
    </fill>
    <fill>
      <patternFill patternType="solid">
        <fgColor theme="1" tint="0.499984740745262"/>
        <bgColor theme="0"/>
      </patternFill>
    </fill>
    <fill>
      <patternFill patternType="solid">
        <fgColor theme="2" tint="-0.14999847407452621"/>
        <bgColor indexed="64"/>
      </patternFill>
    </fill>
  </fills>
  <borders count="38">
    <border>
      <left/>
      <right/>
      <top/>
      <bottom/>
      <diagonal/>
    </border>
    <border>
      <left style="medium">
        <color rgb="FF000000"/>
      </left>
      <right/>
      <top style="medium">
        <color rgb="FF000000"/>
      </top>
      <bottom/>
      <diagonal/>
    </border>
    <border>
      <left style="medium">
        <color rgb="FF000000"/>
      </left>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95B3D7"/>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rgb="FF000000"/>
      </right>
      <top style="thin">
        <color rgb="FF000000"/>
      </top>
      <bottom/>
      <diagonal/>
    </border>
    <border>
      <left style="thin">
        <color indexed="64"/>
      </left>
      <right style="thin">
        <color indexed="64"/>
      </right>
      <top/>
      <bottom style="thin">
        <color indexed="64"/>
      </bottom>
      <diagonal/>
    </border>
  </borders>
  <cellStyleXfs count="1">
    <xf numFmtId="0" fontId="0" fillId="0" borderId="0"/>
  </cellStyleXfs>
  <cellXfs count="318">
    <xf numFmtId="0" fontId="0" fillId="0" borderId="0" xfId="0"/>
    <xf numFmtId="0" fontId="3" fillId="3" borderId="6" xfId="0" applyFont="1" applyFill="1" applyBorder="1" applyAlignment="1">
      <alignment horizontal="center" vertical="center" wrapText="1"/>
    </xf>
    <xf numFmtId="164" fontId="4" fillId="3" borderId="6" xfId="0" applyNumberFormat="1" applyFont="1" applyFill="1" applyBorder="1" applyAlignment="1">
      <alignment horizontal="right" vertical="center"/>
    </xf>
    <xf numFmtId="0" fontId="8" fillId="4" borderId="1" xfId="0" applyFont="1" applyFill="1" applyBorder="1" applyAlignment="1">
      <alignment horizontal="center" vertical="center" wrapText="1"/>
    </xf>
    <xf numFmtId="0" fontId="8" fillId="4" borderId="10" xfId="0" applyFont="1" applyFill="1" applyBorder="1" applyAlignment="1">
      <alignment horizontal="center" vertical="center" wrapText="1"/>
    </xf>
    <xf numFmtId="164" fontId="8" fillId="4" borderId="10" xfId="0" applyNumberFormat="1" applyFont="1" applyFill="1" applyBorder="1" applyAlignment="1">
      <alignment horizontal="center" vertical="center" wrapText="1"/>
    </xf>
    <xf numFmtId="0" fontId="8" fillId="4" borderId="11" xfId="0" applyFont="1" applyFill="1" applyBorder="1" applyAlignment="1">
      <alignment horizontal="center" vertical="center" wrapText="1"/>
    </xf>
    <xf numFmtId="0" fontId="4" fillId="3" borderId="6" xfId="0" applyFont="1" applyFill="1" applyBorder="1" applyAlignment="1">
      <alignment horizontal="center" vertical="center" wrapText="1"/>
    </xf>
    <xf numFmtId="164" fontId="4" fillId="3" borderId="6" xfId="0" applyNumberFormat="1" applyFont="1" applyFill="1" applyBorder="1" applyAlignment="1">
      <alignment vertical="center" wrapText="1"/>
    </xf>
    <xf numFmtId="0" fontId="4" fillId="3" borderId="6" xfId="0" applyFont="1" applyFill="1" applyBorder="1" applyAlignment="1">
      <alignment vertical="center" wrapText="1"/>
    </xf>
    <xf numFmtId="0" fontId="4" fillId="3" borderId="6" xfId="0" applyFont="1" applyFill="1" applyBorder="1" applyAlignment="1">
      <alignment vertical="center"/>
    </xf>
    <xf numFmtId="0" fontId="4" fillId="3" borderId="6" xfId="0" applyFont="1" applyFill="1" applyBorder="1" applyAlignment="1">
      <alignment horizontal="center" vertical="center"/>
    </xf>
    <xf numFmtId="164" fontId="4" fillId="3" borderId="6" xfId="0" applyNumberFormat="1" applyFont="1" applyFill="1" applyBorder="1" applyAlignment="1">
      <alignment horizontal="center" vertical="center"/>
    </xf>
    <xf numFmtId="164" fontId="3" fillId="3" borderId="6" xfId="0" applyNumberFormat="1" applyFont="1" applyFill="1" applyBorder="1" applyAlignment="1">
      <alignment horizontal="center" vertical="center"/>
    </xf>
    <xf numFmtId="165" fontId="4" fillId="3" borderId="6" xfId="0" applyNumberFormat="1" applyFont="1" applyFill="1" applyBorder="1" applyAlignment="1">
      <alignment horizontal="center" vertical="center" wrapText="1"/>
    </xf>
    <xf numFmtId="3" fontId="4" fillId="3" borderId="6" xfId="0" applyNumberFormat="1" applyFont="1" applyFill="1" applyBorder="1" applyAlignment="1">
      <alignment horizontal="center" vertical="center"/>
    </xf>
    <xf numFmtId="3" fontId="4" fillId="3" borderId="6" xfId="0" applyNumberFormat="1" applyFont="1" applyFill="1" applyBorder="1" applyAlignment="1">
      <alignment horizontal="right" vertical="center"/>
    </xf>
    <xf numFmtId="0" fontId="4" fillId="3" borderId="27" xfId="0" applyFont="1" applyFill="1" applyBorder="1" applyAlignment="1">
      <alignment vertical="center"/>
    </xf>
    <xf numFmtId="0" fontId="4" fillId="3" borderId="27" xfId="0" applyFont="1" applyFill="1" applyBorder="1" applyAlignment="1">
      <alignment vertical="center" wrapText="1"/>
    </xf>
    <xf numFmtId="0" fontId="4" fillId="3" borderId="20" xfId="0" applyFont="1" applyFill="1" applyBorder="1" applyAlignment="1">
      <alignment horizontal="left" vertical="center" wrapText="1"/>
    </xf>
    <xf numFmtId="0" fontId="4" fillId="3" borderId="19" xfId="0" applyFont="1" applyFill="1" applyBorder="1" applyAlignment="1">
      <alignment vertical="center"/>
    </xf>
    <xf numFmtId="164" fontId="4" fillId="3" borderId="19" xfId="0" applyNumberFormat="1" applyFont="1" applyFill="1" applyBorder="1" applyAlignment="1">
      <alignment horizontal="right" vertical="center"/>
    </xf>
    <xf numFmtId="0" fontId="4" fillId="3" borderId="6" xfId="0" applyFont="1" applyFill="1" applyBorder="1" applyAlignment="1">
      <alignment horizontal="left" vertical="center" wrapText="1"/>
    </xf>
    <xf numFmtId="0" fontId="4" fillId="3" borderId="21" xfId="0" applyFont="1" applyFill="1" applyBorder="1" applyAlignment="1">
      <alignment vertical="center"/>
    </xf>
    <xf numFmtId="164" fontId="4" fillId="3" borderId="21" xfId="0" applyNumberFormat="1" applyFont="1" applyFill="1" applyBorder="1" applyAlignment="1">
      <alignment horizontal="right" vertical="center"/>
    </xf>
    <xf numFmtId="0" fontId="3" fillId="3" borderId="21" xfId="0" applyFont="1" applyFill="1" applyBorder="1" applyAlignment="1">
      <alignment horizontal="center" vertical="center" wrapText="1"/>
    </xf>
    <xf numFmtId="0" fontId="7" fillId="3" borderId="6" xfId="0" applyFont="1" applyFill="1" applyBorder="1" applyAlignment="1">
      <alignment vertical="center"/>
    </xf>
    <xf numFmtId="0" fontId="7" fillId="3" borderId="6" xfId="0" applyFont="1" applyFill="1" applyBorder="1" applyAlignment="1">
      <alignment wrapText="1"/>
    </xf>
    <xf numFmtId="0" fontId="7" fillId="3" borderId="6" xfId="0" applyFont="1" applyFill="1" applyBorder="1"/>
    <xf numFmtId="0" fontId="7" fillId="3" borderId="19" xfId="0" applyFont="1" applyFill="1" applyBorder="1"/>
    <xf numFmtId="0" fontId="3" fillId="8" borderId="6" xfId="0" applyFont="1" applyFill="1" applyBorder="1" applyAlignment="1">
      <alignment horizontal="center"/>
    </xf>
    <xf numFmtId="164" fontId="7" fillId="3" borderId="6" xfId="0" applyNumberFormat="1" applyFont="1" applyFill="1" applyBorder="1"/>
    <xf numFmtId="0" fontId="7" fillId="3" borderId="6" xfId="0" applyFont="1" applyFill="1" applyBorder="1" applyAlignment="1">
      <alignment vertical="top" wrapText="1"/>
    </xf>
    <xf numFmtId="0" fontId="3" fillId="3" borderId="27" xfId="0" applyFont="1" applyFill="1" applyBorder="1" applyAlignment="1">
      <alignment vertical="center"/>
    </xf>
    <xf numFmtId="164" fontId="4" fillId="3" borderId="6" xfId="0" applyNumberFormat="1" applyFont="1" applyFill="1" applyBorder="1" applyAlignment="1">
      <alignment vertical="center"/>
    </xf>
    <xf numFmtId="164" fontId="3" fillId="3" borderId="6" xfId="0" applyNumberFormat="1" applyFont="1" applyFill="1" applyBorder="1" applyAlignment="1">
      <alignment vertical="center" wrapText="1"/>
    </xf>
    <xf numFmtId="0" fontId="13" fillId="3" borderId="6" xfId="0" applyFont="1" applyFill="1" applyBorder="1" applyAlignment="1">
      <alignment vertical="center"/>
    </xf>
    <xf numFmtId="0" fontId="13" fillId="3" borderId="6" xfId="0" applyFont="1" applyFill="1" applyBorder="1" applyAlignment="1">
      <alignment vertical="center" wrapText="1"/>
    </xf>
    <xf numFmtId="3" fontId="13" fillId="3" borderId="6" xfId="0" applyNumberFormat="1" applyFont="1" applyFill="1" applyBorder="1" applyAlignment="1">
      <alignment horizontal="center" vertical="center"/>
    </xf>
    <xf numFmtId="164" fontId="3" fillId="3" borderId="6" xfId="0" applyNumberFormat="1" applyFont="1" applyFill="1" applyBorder="1"/>
    <xf numFmtId="164" fontId="13" fillId="3" borderId="6" xfId="0" applyNumberFormat="1" applyFont="1" applyFill="1" applyBorder="1" applyAlignment="1">
      <alignment vertical="center" wrapText="1"/>
    </xf>
    <xf numFmtId="164" fontId="13" fillId="3" borderId="6" xfId="0" applyNumberFormat="1" applyFont="1" applyFill="1" applyBorder="1" applyAlignment="1">
      <alignment horizontal="center" vertical="center"/>
    </xf>
    <xf numFmtId="0" fontId="4" fillId="0" borderId="6" xfId="0" applyFont="1" applyBorder="1" applyAlignment="1">
      <alignment wrapText="1"/>
    </xf>
    <xf numFmtId="0" fontId="4" fillId="0" borderId="6" xfId="0" applyFont="1" applyBorder="1"/>
    <xf numFmtId="0" fontId="4" fillId="3" borderId="6" xfId="0" applyFont="1" applyFill="1" applyBorder="1"/>
    <xf numFmtId="164" fontId="4" fillId="3" borderId="6" xfId="0" applyNumberFormat="1" applyFont="1" applyFill="1" applyBorder="1"/>
    <xf numFmtId="164" fontId="4" fillId="3" borderId="6" xfId="0" applyNumberFormat="1" applyFont="1" applyFill="1" applyBorder="1" applyAlignment="1">
      <alignment horizontal="right"/>
    </xf>
    <xf numFmtId="0" fontId="4" fillId="3" borderId="21" xfId="0" applyFont="1" applyFill="1" applyBorder="1"/>
    <xf numFmtId="3" fontId="4" fillId="3" borderId="21" xfId="0" applyNumberFormat="1" applyFont="1" applyFill="1" applyBorder="1"/>
    <xf numFmtId="0" fontId="3" fillId="9" borderId="6" xfId="0" applyFont="1" applyFill="1" applyBorder="1" applyAlignment="1">
      <alignment horizontal="center" vertical="center" wrapText="1"/>
    </xf>
    <xf numFmtId="0" fontId="3" fillId="3" borderId="30" xfId="0" applyFont="1" applyFill="1" applyBorder="1" applyAlignment="1">
      <alignment vertical="center"/>
    </xf>
    <xf numFmtId="0" fontId="4" fillId="3" borderId="24" xfId="0" applyFont="1" applyFill="1" applyBorder="1"/>
    <xf numFmtId="0" fontId="3" fillId="3" borderId="24" xfId="0" applyFont="1" applyFill="1" applyBorder="1"/>
    <xf numFmtId="0" fontId="0" fillId="0" borderId="0" xfId="0" applyAlignment="1">
      <alignment vertical="center"/>
    </xf>
    <xf numFmtId="0" fontId="16" fillId="0" borderId="0" xfId="0" applyFont="1" applyAlignment="1">
      <alignment vertical="center"/>
    </xf>
    <xf numFmtId="0" fontId="3" fillId="3" borderId="24" xfId="0" applyFont="1" applyFill="1" applyBorder="1" applyAlignment="1">
      <alignment vertical="center"/>
    </xf>
    <xf numFmtId="0" fontId="8" fillId="4" borderId="1" xfId="0" applyFont="1" applyFill="1" applyBorder="1" applyAlignment="1">
      <alignment horizontal="center" vertical="center"/>
    </xf>
    <xf numFmtId="0" fontId="8" fillId="4" borderId="10" xfId="0" applyFont="1" applyFill="1" applyBorder="1" applyAlignment="1">
      <alignment horizontal="center" vertical="center"/>
    </xf>
    <xf numFmtId="164" fontId="8" fillId="4" borderId="10" xfId="0" applyNumberFormat="1" applyFont="1" applyFill="1" applyBorder="1" applyAlignment="1">
      <alignment horizontal="center" vertical="center"/>
    </xf>
    <xf numFmtId="0" fontId="8" fillId="4" borderId="11" xfId="0" applyFont="1" applyFill="1" applyBorder="1" applyAlignment="1">
      <alignment horizontal="center" vertical="center"/>
    </xf>
    <xf numFmtId="0" fontId="4" fillId="3" borderId="24" xfId="0" applyFont="1" applyFill="1" applyBorder="1" applyAlignment="1">
      <alignment vertical="center" wrapText="1"/>
    </xf>
    <xf numFmtId="0" fontId="3" fillId="3" borderId="19" xfId="0" applyFont="1" applyFill="1" applyBorder="1" applyAlignment="1">
      <alignment horizontal="center" vertical="center" wrapText="1"/>
    </xf>
    <xf numFmtId="0" fontId="3" fillId="3" borderId="20" xfId="0" applyFont="1" applyFill="1" applyBorder="1" applyAlignment="1">
      <alignment horizontal="center" vertical="center" wrapText="1"/>
    </xf>
    <xf numFmtId="0" fontId="7" fillId="3" borderId="24" xfId="0" applyFont="1" applyFill="1" applyBorder="1"/>
    <xf numFmtId="164" fontId="4" fillId="3" borderId="20" xfId="0" applyNumberFormat="1" applyFont="1" applyFill="1" applyBorder="1" applyAlignment="1">
      <alignment horizontal="right" vertical="center"/>
    </xf>
    <xf numFmtId="164" fontId="7" fillId="3" borderId="6" xfId="0" applyNumberFormat="1" applyFont="1" applyFill="1" applyBorder="1" applyAlignment="1">
      <alignment vertical="center"/>
    </xf>
    <xf numFmtId="164" fontId="7" fillId="3" borderId="6" xfId="0" applyNumberFormat="1" applyFont="1" applyFill="1" applyBorder="1" applyAlignment="1">
      <alignment horizontal="center" vertical="center"/>
    </xf>
    <xf numFmtId="0" fontId="4" fillId="3" borderId="24" xfId="0" applyFont="1" applyFill="1" applyBorder="1" applyAlignment="1">
      <alignment vertical="center"/>
    </xf>
    <xf numFmtId="0" fontId="7" fillId="3" borderId="24" xfId="0" applyFont="1" applyFill="1" applyBorder="1" applyAlignment="1">
      <alignment vertical="center"/>
    </xf>
    <xf numFmtId="0" fontId="13" fillId="3" borderId="24" xfId="0" applyFont="1" applyFill="1" applyBorder="1" applyAlignment="1">
      <alignment vertical="center"/>
    </xf>
    <xf numFmtId="0" fontId="7" fillId="3" borderId="24" xfId="0" applyFont="1" applyFill="1" applyBorder="1" applyAlignment="1">
      <alignment vertical="top"/>
    </xf>
    <xf numFmtId="0" fontId="7" fillId="3" borderId="24" xfId="0" applyFont="1" applyFill="1" applyBorder="1" applyAlignment="1">
      <alignment vertical="top" wrapText="1"/>
    </xf>
    <xf numFmtId="0" fontId="14" fillId="3" borderId="24" xfId="0" applyFont="1" applyFill="1" applyBorder="1"/>
    <xf numFmtId="0" fontId="14" fillId="3" borderId="24" xfId="0" applyFont="1" applyFill="1" applyBorder="1" applyAlignment="1">
      <alignment vertical="top" wrapText="1"/>
    </xf>
    <xf numFmtId="0" fontId="15" fillId="3" borderId="24" xfId="0" applyFont="1" applyFill="1" applyBorder="1"/>
    <xf numFmtId="0" fontId="3" fillId="3" borderId="24" xfId="0" applyFont="1" applyFill="1" applyBorder="1" applyAlignment="1">
      <alignment horizontal="center" vertical="center"/>
    </xf>
    <xf numFmtId="0" fontId="15" fillId="3" borderId="24" xfId="0" applyFont="1" applyFill="1" applyBorder="1" applyAlignment="1">
      <alignment vertical="center"/>
    </xf>
    <xf numFmtId="0" fontId="3" fillId="3" borderId="24" xfId="0" applyFont="1" applyFill="1" applyBorder="1" applyAlignment="1">
      <alignment vertical="top"/>
    </xf>
    <xf numFmtId="0" fontId="13" fillId="3" borderId="24" xfId="0" applyFont="1" applyFill="1" applyBorder="1"/>
    <xf numFmtId="0" fontId="14" fillId="3" borderId="24" xfId="0" applyFont="1" applyFill="1" applyBorder="1" applyAlignment="1">
      <alignment vertical="top"/>
    </xf>
    <xf numFmtId="0" fontId="3" fillId="0" borderId="1" xfId="0" applyFont="1" applyBorder="1" applyAlignment="1">
      <alignment vertical="center"/>
    </xf>
    <xf numFmtId="0" fontId="4" fillId="0" borderId="10" xfId="0" applyFont="1" applyBorder="1" applyAlignment="1">
      <alignment vertical="center"/>
    </xf>
    <xf numFmtId="3" fontId="4" fillId="10" borderId="10" xfId="0" applyNumberFormat="1" applyFont="1" applyFill="1" applyBorder="1" applyAlignment="1">
      <alignment vertical="center"/>
    </xf>
    <xf numFmtId="9" fontId="4" fillId="10" borderId="10" xfId="0" applyNumberFormat="1" applyFont="1" applyFill="1" applyBorder="1" applyAlignment="1">
      <alignment vertical="center"/>
    </xf>
    <xf numFmtId="0" fontId="4" fillId="18" borderId="10" xfId="0" applyFont="1" applyFill="1" applyBorder="1" applyAlignment="1">
      <alignment horizontal="center" vertical="center"/>
    </xf>
    <xf numFmtId="164" fontId="4" fillId="10" borderId="10" xfId="0" applyNumberFormat="1" applyFont="1" applyFill="1" applyBorder="1" applyAlignment="1">
      <alignment horizontal="center" vertical="center"/>
    </xf>
    <xf numFmtId="0" fontId="4" fillId="10" borderId="11" xfId="0" applyFont="1" applyFill="1" applyBorder="1" applyAlignment="1">
      <alignment vertical="center"/>
    </xf>
    <xf numFmtId="0" fontId="9" fillId="0" borderId="12" xfId="0" applyFont="1" applyBorder="1" applyAlignment="1">
      <alignment vertical="center"/>
    </xf>
    <xf numFmtId="0" fontId="10" fillId="18" borderId="13" xfId="0" applyFont="1" applyFill="1" applyBorder="1" applyAlignment="1">
      <alignment vertical="center"/>
    </xf>
    <xf numFmtId="3" fontId="4" fillId="10" borderId="13" xfId="0" applyNumberFormat="1" applyFont="1" applyFill="1" applyBorder="1" applyAlignment="1">
      <alignment vertical="center"/>
    </xf>
    <xf numFmtId="9" fontId="4" fillId="10" borderId="13" xfId="0" applyNumberFormat="1" applyFont="1" applyFill="1" applyBorder="1" applyAlignment="1">
      <alignment vertical="center"/>
    </xf>
    <xf numFmtId="0" fontId="4" fillId="18" borderId="30" xfId="0" applyFont="1" applyFill="1" applyBorder="1" applyAlignment="1">
      <alignment horizontal="center" vertical="center"/>
    </xf>
    <xf numFmtId="3" fontId="4" fillId="10" borderId="14" xfId="0" applyNumberFormat="1" applyFont="1" applyFill="1" applyBorder="1" applyAlignment="1">
      <alignment vertical="center"/>
    </xf>
    <xf numFmtId="165" fontId="6" fillId="0" borderId="12" xfId="0" applyNumberFormat="1" applyFont="1" applyBorder="1" applyAlignment="1">
      <alignment vertical="center"/>
    </xf>
    <xf numFmtId="165" fontId="6" fillId="0" borderId="13" xfId="0" applyNumberFormat="1" applyFont="1" applyBorder="1" applyAlignment="1">
      <alignment vertical="center"/>
    </xf>
    <xf numFmtId="0" fontId="4" fillId="10" borderId="14" xfId="0" applyFont="1" applyFill="1" applyBorder="1" applyAlignment="1">
      <alignment vertical="center"/>
    </xf>
    <xf numFmtId="0" fontId="30" fillId="18" borderId="7" xfId="0" applyFont="1" applyFill="1" applyBorder="1" applyAlignment="1">
      <alignment horizontal="left" vertical="center" wrapText="1"/>
    </xf>
    <xf numFmtId="0" fontId="4" fillId="0" borderId="23" xfId="0" applyFont="1" applyBorder="1" applyAlignment="1">
      <alignment vertical="center"/>
    </xf>
    <xf numFmtId="0" fontId="4" fillId="0" borderId="2" xfId="0" applyFont="1" applyBorder="1" applyAlignment="1">
      <alignment vertical="center"/>
    </xf>
    <xf numFmtId="0" fontId="11" fillId="0" borderId="13" xfId="0" applyFont="1" applyBorder="1" applyAlignment="1">
      <alignment vertical="center"/>
    </xf>
    <xf numFmtId="0" fontId="4" fillId="18" borderId="27" xfId="0" applyFont="1" applyFill="1" applyBorder="1" applyAlignment="1">
      <alignment horizontal="center" vertical="center"/>
    </xf>
    <xf numFmtId="164" fontId="4" fillId="10" borderId="13" xfId="0" applyNumberFormat="1" applyFont="1" applyFill="1" applyBorder="1" applyAlignment="1">
      <alignment horizontal="center" vertical="center"/>
    </xf>
    <xf numFmtId="0" fontId="5" fillId="0" borderId="15" xfId="0" applyFont="1" applyBorder="1" applyAlignment="1">
      <alignment vertical="center"/>
    </xf>
    <xf numFmtId="0" fontId="3" fillId="0" borderId="16" xfId="0" applyFont="1" applyBorder="1" applyAlignment="1">
      <alignment vertical="center"/>
    </xf>
    <xf numFmtId="3" fontId="4" fillId="10" borderId="16" xfId="0" applyNumberFormat="1" applyFont="1" applyFill="1" applyBorder="1" applyAlignment="1">
      <alignment vertical="center"/>
    </xf>
    <xf numFmtId="166" fontId="4" fillId="10" borderId="16" xfId="0" applyNumberFormat="1" applyFont="1" applyFill="1" applyBorder="1" applyAlignment="1">
      <alignment vertical="center"/>
    </xf>
    <xf numFmtId="3" fontId="3" fillId="10" borderId="16" xfId="0" applyNumberFormat="1" applyFont="1" applyFill="1" applyBorder="1" applyAlignment="1">
      <alignment horizontal="center" vertical="center"/>
    </xf>
    <xf numFmtId="164" fontId="3" fillId="10" borderId="16" xfId="0" applyNumberFormat="1" applyFont="1" applyFill="1" applyBorder="1" applyAlignment="1">
      <alignment horizontal="center" vertical="center"/>
    </xf>
    <xf numFmtId="3" fontId="3" fillId="10" borderId="17" xfId="0" applyNumberFormat="1" applyFont="1" applyFill="1" applyBorder="1" applyAlignment="1">
      <alignment vertical="center"/>
    </xf>
    <xf numFmtId="0" fontId="4" fillId="18" borderId="13" xfId="0" applyFont="1" applyFill="1" applyBorder="1" applyAlignment="1">
      <alignment horizontal="center" vertical="center"/>
    </xf>
    <xf numFmtId="3" fontId="4" fillId="18" borderId="13" xfId="0" applyNumberFormat="1" applyFont="1" applyFill="1" applyBorder="1" applyAlignment="1">
      <alignment horizontal="center" vertical="center"/>
    </xf>
    <xf numFmtId="0" fontId="24" fillId="0" borderId="12" xfId="0" applyFont="1" applyBorder="1" applyAlignment="1">
      <alignment vertical="center"/>
    </xf>
    <xf numFmtId="0" fontId="23" fillId="0" borderId="7" xfId="0" applyFont="1" applyBorder="1" applyAlignment="1">
      <alignment horizontal="left" vertical="center" wrapText="1"/>
    </xf>
    <xf numFmtId="3" fontId="3" fillId="10" borderId="14" xfId="0" applyNumberFormat="1" applyFont="1" applyFill="1" applyBorder="1" applyAlignment="1">
      <alignment vertical="center"/>
    </xf>
    <xf numFmtId="164" fontId="4" fillId="3" borderId="24" xfId="0" applyNumberFormat="1" applyFont="1" applyFill="1" applyBorder="1" applyAlignment="1">
      <alignment vertical="center"/>
    </xf>
    <xf numFmtId="0" fontId="3" fillId="3" borderId="35" xfId="0" applyFont="1" applyFill="1" applyBorder="1" applyAlignment="1">
      <alignment horizontal="center" vertical="center"/>
    </xf>
    <xf numFmtId="3" fontId="3" fillId="3" borderId="35" xfId="0" applyNumberFormat="1" applyFont="1" applyFill="1" applyBorder="1" applyAlignment="1">
      <alignment vertical="center"/>
    </xf>
    <xf numFmtId="0" fontId="3" fillId="3" borderId="1" xfId="0" applyFont="1" applyFill="1" applyBorder="1" applyAlignment="1">
      <alignment vertical="center"/>
    </xf>
    <xf numFmtId="0" fontId="4" fillId="3" borderId="10" xfId="0" applyFont="1" applyFill="1" applyBorder="1" applyAlignment="1">
      <alignment vertical="center"/>
    </xf>
    <xf numFmtId="3" fontId="4" fillId="11" borderId="10" xfId="0" applyNumberFormat="1" applyFont="1" applyFill="1" applyBorder="1" applyAlignment="1">
      <alignment vertical="center"/>
    </xf>
    <xf numFmtId="9" fontId="4" fillId="11" borderId="10" xfId="0" applyNumberFormat="1" applyFont="1" applyFill="1" applyBorder="1" applyAlignment="1">
      <alignment vertical="center"/>
    </xf>
    <xf numFmtId="3" fontId="4" fillId="3" borderId="10" xfId="0" applyNumberFormat="1" applyFont="1" applyFill="1" applyBorder="1" applyAlignment="1">
      <alignment vertical="center"/>
    </xf>
    <xf numFmtId="0" fontId="4" fillId="19" borderId="10" xfId="0" applyFont="1" applyFill="1" applyBorder="1" applyAlignment="1">
      <alignment horizontal="center" vertical="center"/>
    </xf>
    <xf numFmtId="164" fontId="4" fillId="11" borderId="10" xfId="0" applyNumberFormat="1" applyFont="1" applyFill="1" applyBorder="1" applyAlignment="1">
      <alignment horizontal="center" vertical="center"/>
    </xf>
    <xf numFmtId="0" fontId="4" fillId="11" borderId="11" xfId="0" applyFont="1" applyFill="1" applyBorder="1" applyAlignment="1">
      <alignment vertical="center"/>
    </xf>
    <xf numFmtId="0" fontId="9" fillId="3" borderId="12" xfId="0" applyFont="1" applyFill="1" applyBorder="1" applyAlignment="1">
      <alignment vertical="center"/>
    </xf>
    <xf numFmtId="0" fontId="10" fillId="19" borderId="13" xfId="0" applyFont="1" applyFill="1" applyBorder="1" applyAlignment="1">
      <alignment vertical="center"/>
    </xf>
    <xf numFmtId="3" fontId="4" fillId="11" borderId="13" xfId="0" applyNumberFormat="1" applyFont="1" applyFill="1" applyBorder="1" applyAlignment="1">
      <alignment vertical="center"/>
    </xf>
    <xf numFmtId="9" fontId="4" fillId="11" borderId="13" xfId="0" applyNumberFormat="1" applyFont="1" applyFill="1" applyBorder="1" applyAlignment="1">
      <alignment vertical="center"/>
    </xf>
    <xf numFmtId="3" fontId="4" fillId="3" borderId="13" xfId="0" applyNumberFormat="1" applyFont="1" applyFill="1" applyBorder="1" applyAlignment="1">
      <alignment vertical="center"/>
    </xf>
    <xf numFmtId="0" fontId="4" fillId="19" borderId="30" xfId="0" applyFont="1" applyFill="1" applyBorder="1" applyAlignment="1">
      <alignment horizontal="center" vertical="center"/>
    </xf>
    <xf numFmtId="164" fontId="4" fillId="11" borderId="23" xfId="0" applyNumberFormat="1" applyFont="1" applyFill="1" applyBorder="1" applyAlignment="1">
      <alignment horizontal="center" vertical="center"/>
    </xf>
    <xf numFmtId="3" fontId="4" fillId="11" borderId="14" xfId="0" applyNumberFormat="1" applyFont="1" applyFill="1" applyBorder="1" applyAlignment="1">
      <alignment vertical="center"/>
    </xf>
    <xf numFmtId="165" fontId="6" fillId="3" borderId="12" xfId="0" applyNumberFormat="1" applyFont="1" applyFill="1" applyBorder="1" applyAlignment="1">
      <alignment vertical="center"/>
    </xf>
    <xf numFmtId="165" fontId="6" fillId="3" borderId="13" xfId="0" applyNumberFormat="1" applyFont="1" applyFill="1" applyBorder="1" applyAlignment="1">
      <alignment vertical="center"/>
    </xf>
    <xf numFmtId="0" fontId="4" fillId="11" borderId="14" xfId="0" applyFont="1" applyFill="1" applyBorder="1" applyAlignment="1">
      <alignment vertical="center"/>
    </xf>
    <xf numFmtId="0" fontId="4" fillId="3" borderId="23" xfId="0" applyFont="1" applyFill="1" applyBorder="1" applyAlignment="1">
      <alignment vertical="center"/>
    </xf>
    <xf numFmtId="0" fontId="4" fillId="3" borderId="2" xfId="0" applyFont="1" applyFill="1" applyBorder="1" applyAlignment="1">
      <alignment vertical="center"/>
    </xf>
    <xf numFmtId="0" fontId="11" fillId="3" borderId="13" xfId="0" applyFont="1" applyFill="1" applyBorder="1" applyAlignment="1">
      <alignment vertical="center"/>
    </xf>
    <xf numFmtId="0" fontId="5" fillId="3" borderId="15" xfId="0" applyFont="1" applyFill="1" applyBorder="1" applyAlignment="1">
      <alignment vertical="center"/>
    </xf>
    <xf numFmtId="0" fontId="3" fillId="3" borderId="16" xfId="0" applyFont="1" applyFill="1" applyBorder="1" applyAlignment="1">
      <alignment vertical="center"/>
    </xf>
    <xf numFmtId="3" fontId="4" fillId="11" borderId="16" xfId="0" applyNumberFormat="1" applyFont="1" applyFill="1" applyBorder="1" applyAlignment="1">
      <alignment vertical="center"/>
    </xf>
    <xf numFmtId="166" fontId="4" fillId="11" borderId="16" xfId="0" applyNumberFormat="1" applyFont="1" applyFill="1" applyBorder="1" applyAlignment="1">
      <alignment vertical="center"/>
    </xf>
    <xf numFmtId="3" fontId="4" fillId="3" borderId="16" xfId="0" applyNumberFormat="1" applyFont="1" applyFill="1" applyBorder="1" applyAlignment="1">
      <alignment vertical="center"/>
    </xf>
    <xf numFmtId="3" fontId="3" fillId="11" borderId="34" xfId="0" applyNumberFormat="1" applyFont="1" applyFill="1" applyBorder="1" applyAlignment="1">
      <alignment horizontal="center" vertical="center"/>
    </xf>
    <xf numFmtId="164" fontId="3" fillId="11" borderId="16" xfId="0" applyNumberFormat="1" applyFont="1" applyFill="1" applyBorder="1" applyAlignment="1">
      <alignment horizontal="center" vertical="center"/>
    </xf>
    <xf numFmtId="3" fontId="3" fillId="11" borderId="17" xfId="0" applyNumberFormat="1" applyFont="1" applyFill="1" applyBorder="1" applyAlignment="1">
      <alignment vertical="center"/>
    </xf>
    <xf numFmtId="0" fontId="4" fillId="19" borderId="13" xfId="0" applyFont="1" applyFill="1" applyBorder="1" applyAlignment="1">
      <alignment horizontal="center" vertical="center"/>
    </xf>
    <xf numFmtId="164" fontId="4" fillId="11" borderId="13" xfId="0" applyNumberFormat="1" applyFont="1" applyFill="1" applyBorder="1" applyAlignment="1">
      <alignment horizontal="center" vertical="center"/>
    </xf>
    <xf numFmtId="3" fontId="4" fillId="19" borderId="13" xfId="0" applyNumberFormat="1" applyFont="1" applyFill="1" applyBorder="1" applyAlignment="1">
      <alignment horizontal="center" vertical="center"/>
    </xf>
    <xf numFmtId="3" fontId="3" fillId="11" borderId="16" xfId="0" applyNumberFormat="1" applyFont="1" applyFill="1" applyBorder="1" applyAlignment="1">
      <alignment horizontal="center" vertical="center"/>
    </xf>
    <xf numFmtId="0" fontId="0" fillId="0" borderId="0" xfId="0" applyAlignment="1" applyProtection="1">
      <alignment vertical="center"/>
      <protection locked="0"/>
    </xf>
    <xf numFmtId="0" fontId="20" fillId="0" borderId="0" xfId="0" applyFont="1" applyAlignment="1" applyProtection="1">
      <alignment horizontal="center" vertical="center"/>
      <protection locked="0"/>
    </xf>
    <xf numFmtId="0" fontId="0" fillId="0" borderId="0" xfId="0" applyProtection="1">
      <protection locked="0"/>
    </xf>
    <xf numFmtId="3" fontId="4" fillId="3" borderId="6" xfId="0" applyNumberFormat="1" applyFont="1" applyFill="1" applyBorder="1" applyAlignment="1" applyProtection="1">
      <alignment vertical="center" wrapText="1"/>
      <protection locked="0"/>
    </xf>
    <xf numFmtId="3" fontId="3" fillId="17" borderId="6" xfId="0" applyNumberFormat="1" applyFont="1" applyFill="1" applyBorder="1" applyAlignment="1" applyProtection="1">
      <alignment horizontal="right" vertical="center" wrapText="1"/>
      <protection locked="0"/>
    </xf>
    <xf numFmtId="0" fontId="4" fillId="3" borderId="24" xfId="0" applyFont="1" applyFill="1" applyBorder="1" applyAlignment="1" applyProtection="1">
      <alignment vertical="center" wrapText="1"/>
      <protection locked="0"/>
    </xf>
    <xf numFmtId="165" fontId="4" fillId="3" borderId="24" xfId="0" applyNumberFormat="1" applyFont="1" applyFill="1" applyBorder="1" applyAlignment="1" applyProtection="1">
      <alignment vertical="center" wrapText="1"/>
      <protection locked="0"/>
    </xf>
    <xf numFmtId="0" fontId="0" fillId="0" borderId="0" xfId="0" applyAlignment="1">
      <alignment wrapText="1"/>
    </xf>
    <xf numFmtId="0" fontId="25" fillId="0" borderId="0" xfId="0" applyFont="1"/>
    <xf numFmtId="164" fontId="4" fillId="3" borderId="18" xfId="0" applyNumberFormat="1" applyFont="1" applyFill="1" applyBorder="1" applyAlignment="1">
      <alignment horizontal="right" vertical="center"/>
    </xf>
    <xf numFmtId="3" fontId="3" fillId="11" borderId="14" xfId="0" applyNumberFormat="1" applyFont="1" applyFill="1" applyBorder="1" applyAlignment="1">
      <alignment vertical="center"/>
    </xf>
    <xf numFmtId="3" fontId="4" fillId="3" borderId="30" xfId="0" applyNumberFormat="1" applyFont="1" applyFill="1" applyBorder="1" applyAlignment="1">
      <alignment vertical="center"/>
    </xf>
    <xf numFmtId="0" fontId="3" fillId="3" borderId="24" xfId="0" applyFont="1" applyFill="1" applyBorder="1" applyAlignment="1" applyProtection="1">
      <alignment vertical="center"/>
      <protection locked="0"/>
    </xf>
    <xf numFmtId="0" fontId="0" fillId="0" borderId="0" xfId="0" applyAlignment="1" applyProtection="1">
      <alignment wrapText="1"/>
      <protection locked="0"/>
    </xf>
    <xf numFmtId="0" fontId="25" fillId="0" borderId="0" xfId="0" applyFont="1" applyProtection="1">
      <protection locked="0"/>
    </xf>
    <xf numFmtId="0" fontId="4" fillId="3" borderId="29" xfId="0" applyFont="1" applyFill="1" applyBorder="1" applyAlignment="1" applyProtection="1">
      <alignment vertical="center" wrapText="1"/>
      <protection locked="0"/>
    </xf>
    <xf numFmtId="0" fontId="3" fillId="12" borderId="6" xfId="0" applyFont="1" applyFill="1" applyBorder="1" applyAlignment="1" applyProtection="1">
      <alignment horizontal="center" vertical="center" wrapText="1"/>
      <protection locked="0"/>
    </xf>
    <xf numFmtId="0" fontId="3" fillId="16" borderId="6" xfId="0" applyFont="1" applyFill="1" applyBorder="1" applyAlignment="1" applyProtection="1">
      <alignment horizontal="center" vertical="center" wrapText="1"/>
      <protection locked="0"/>
    </xf>
    <xf numFmtId="0" fontId="3" fillId="5" borderId="6" xfId="0" applyFont="1" applyFill="1" applyBorder="1" applyAlignment="1" applyProtection="1">
      <alignment horizontal="center" vertical="center" wrapText="1"/>
      <protection locked="0"/>
    </xf>
    <xf numFmtId="0" fontId="4" fillId="3" borderId="19" xfId="0" applyFont="1" applyFill="1" applyBorder="1" applyAlignment="1" applyProtection="1">
      <alignment vertical="center" wrapText="1"/>
      <protection locked="0"/>
    </xf>
    <xf numFmtId="0" fontId="12" fillId="0" borderId="6" xfId="0" applyFont="1" applyBorder="1" applyAlignment="1" applyProtection="1">
      <alignment wrapText="1"/>
      <protection locked="0"/>
    </xf>
    <xf numFmtId="0" fontId="4" fillId="3" borderId="26" xfId="0" applyFont="1" applyFill="1" applyBorder="1" applyAlignment="1" applyProtection="1">
      <alignment vertical="center" wrapText="1"/>
      <protection locked="0"/>
    </xf>
    <xf numFmtId="3" fontId="4" fillId="3" borderId="20" xfId="0" applyNumberFormat="1" applyFont="1" applyFill="1" applyBorder="1" applyAlignment="1" applyProtection="1">
      <alignment horizontal="center" vertical="center" wrapText="1"/>
      <protection locked="0"/>
    </xf>
    <xf numFmtId="0" fontId="4" fillId="3" borderId="20" xfId="0" applyFont="1" applyFill="1" applyBorder="1" applyAlignment="1" applyProtection="1">
      <alignment horizontal="center" vertical="center" wrapText="1"/>
      <protection locked="0"/>
    </xf>
    <xf numFmtId="3" fontId="4" fillId="3" borderId="20" xfId="0" applyNumberFormat="1" applyFont="1" applyFill="1" applyBorder="1" applyAlignment="1" applyProtection="1">
      <alignment vertical="center" wrapText="1"/>
      <protection locked="0"/>
    </xf>
    <xf numFmtId="0" fontId="4" fillId="3" borderId="6" xfId="0" applyFont="1" applyFill="1" applyBorder="1" applyAlignment="1" applyProtection="1">
      <alignment horizontal="center" vertical="center" wrapText="1"/>
      <protection locked="0"/>
    </xf>
    <xf numFmtId="0" fontId="4" fillId="3" borderId="21" xfId="0" applyFont="1" applyFill="1" applyBorder="1" applyAlignment="1" applyProtection="1">
      <alignment vertical="center" wrapText="1"/>
      <protection locked="0"/>
    </xf>
    <xf numFmtId="0" fontId="2" fillId="0" borderId="24" xfId="0" applyFont="1" applyBorder="1" applyProtection="1">
      <protection locked="0"/>
    </xf>
    <xf numFmtId="0" fontId="4" fillId="3" borderId="24" xfId="0" applyFont="1" applyFill="1" applyBorder="1" applyAlignment="1" applyProtection="1">
      <alignment horizontal="left" vertical="center" wrapText="1"/>
      <protection locked="0"/>
    </xf>
    <xf numFmtId="164" fontId="4" fillId="3" borderId="24" xfId="0" applyNumberFormat="1" applyFont="1" applyFill="1" applyBorder="1" applyAlignment="1" applyProtection="1">
      <alignment vertical="center" wrapText="1"/>
      <protection locked="0"/>
    </xf>
    <xf numFmtId="0" fontId="7" fillId="3" borderId="24" xfId="0" applyFont="1" applyFill="1" applyBorder="1" applyAlignment="1" applyProtection="1">
      <alignment vertical="center" wrapText="1"/>
      <protection locked="0"/>
    </xf>
    <xf numFmtId="9" fontId="4" fillId="0" borderId="24" xfId="0" applyNumberFormat="1" applyFont="1" applyBorder="1" applyAlignment="1" applyProtection="1">
      <alignment vertical="center" wrapText="1"/>
      <protection locked="0"/>
    </xf>
    <xf numFmtId="9" fontId="4" fillId="3" borderId="24" xfId="0" applyNumberFormat="1" applyFont="1" applyFill="1" applyBorder="1" applyAlignment="1" applyProtection="1">
      <alignment vertical="center" wrapText="1"/>
      <protection locked="0"/>
    </xf>
    <xf numFmtId="0" fontId="3" fillId="6" borderId="6" xfId="0" applyFont="1" applyFill="1" applyBorder="1" applyAlignment="1" applyProtection="1">
      <alignment horizontal="center" vertical="center" wrapText="1"/>
      <protection locked="0"/>
    </xf>
    <xf numFmtId="0" fontId="4" fillId="3" borderId="6" xfId="0" applyFont="1" applyFill="1" applyBorder="1" applyAlignment="1" applyProtection="1">
      <alignment vertical="center" wrapText="1"/>
      <protection locked="0"/>
    </xf>
    <xf numFmtId="164" fontId="4" fillId="3" borderId="6" xfId="0" applyNumberFormat="1" applyFont="1" applyFill="1" applyBorder="1" applyAlignment="1" applyProtection="1">
      <alignment vertical="center" wrapText="1"/>
      <protection locked="0"/>
    </xf>
    <xf numFmtId="3" fontId="3" fillId="14" borderId="6" xfId="0" applyNumberFormat="1" applyFont="1" applyFill="1" applyBorder="1" applyAlignment="1">
      <alignment vertical="center" wrapText="1"/>
    </xf>
    <xf numFmtId="3" fontId="3" fillId="3" borderId="20" xfId="0" applyNumberFormat="1" applyFont="1" applyFill="1" applyBorder="1" applyAlignment="1">
      <alignment vertical="center" wrapText="1"/>
    </xf>
    <xf numFmtId="3" fontId="3" fillId="3" borderId="6" xfId="0" applyNumberFormat="1" applyFont="1" applyFill="1" applyBorder="1" applyAlignment="1">
      <alignment vertical="center" wrapText="1"/>
    </xf>
    <xf numFmtId="3" fontId="1" fillId="15" borderId="6" xfId="0" applyNumberFormat="1" applyFont="1" applyFill="1" applyBorder="1" applyAlignment="1">
      <alignment horizontal="right" vertical="center" wrapText="1"/>
    </xf>
    <xf numFmtId="3" fontId="3" fillId="17" borderId="6" xfId="0" applyNumberFormat="1" applyFont="1" applyFill="1" applyBorder="1" applyAlignment="1">
      <alignment horizontal="right" vertical="center" wrapText="1"/>
    </xf>
    <xf numFmtId="3" fontId="3" fillId="17" borderId="6" xfId="0" applyNumberFormat="1" applyFont="1" applyFill="1" applyBorder="1" applyAlignment="1">
      <alignment vertical="center" wrapText="1"/>
    </xf>
    <xf numFmtId="164" fontId="3" fillId="9" borderId="22" xfId="0" applyNumberFormat="1" applyFont="1" applyFill="1" applyBorder="1" applyAlignment="1">
      <alignment horizontal="right" vertical="center"/>
    </xf>
    <xf numFmtId="164" fontId="3" fillId="9" borderId="22" xfId="0" applyNumberFormat="1" applyFont="1" applyFill="1" applyBorder="1" applyAlignment="1">
      <alignment vertical="center"/>
    </xf>
    <xf numFmtId="164" fontId="3" fillId="9" borderId="6" xfId="0" applyNumberFormat="1" applyFont="1" applyFill="1" applyBorder="1" applyAlignment="1">
      <alignment horizontal="center" vertical="center"/>
    </xf>
    <xf numFmtId="0" fontId="22" fillId="0" borderId="0" xfId="0" applyFont="1"/>
    <xf numFmtId="0" fontId="22" fillId="0" borderId="0" xfId="0" applyFont="1" applyAlignment="1">
      <alignment vertical="center"/>
    </xf>
    <xf numFmtId="0" fontId="0" fillId="0" borderId="0" xfId="0" applyAlignment="1">
      <alignment vertical="center" wrapText="1"/>
    </xf>
    <xf numFmtId="0" fontId="25" fillId="0" borderId="0" xfId="0" applyFont="1" applyAlignment="1">
      <alignment vertical="center"/>
    </xf>
    <xf numFmtId="0" fontId="32" fillId="3" borderId="24" xfId="0" applyFont="1" applyFill="1" applyBorder="1"/>
    <xf numFmtId="164" fontId="29" fillId="3" borderId="6" xfId="0" applyNumberFormat="1" applyFont="1" applyFill="1" applyBorder="1" applyAlignment="1">
      <alignment vertical="center"/>
    </xf>
    <xf numFmtId="164" fontId="29" fillId="3" borderId="6" xfId="0" applyNumberFormat="1" applyFont="1" applyFill="1" applyBorder="1" applyAlignment="1">
      <alignment horizontal="center" vertical="center"/>
    </xf>
    <xf numFmtId="164" fontId="3" fillId="9" borderId="19" xfId="0" applyNumberFormat="1" applyFont="1" applyFill="1" applyBorder="1" applyAlignment="1">
      <alignment horizontal="right" vertical="center"/>
    </xf>
    <xf numFmtId="164" fontId="3" fillId="9" borderId="30" xfId="0" applyNumberFormat="1" applyFont="1" applyFill="1" applyBorder="1" applyAlignment="1">
      <alignment horizontal="right" vertical="center"/>
    </xf>
    <xf numFmtId="164" fontId="4" fillId="9" borderId="19" xfId="0" applyNumberFormat="1" applyFont="1" applyFill="1" applyBorder="1" applyAlignment="1">
      <alignment horizontal="right" vertical="center"/>
    </xf>
    <xf numFmtId="164" fontId="3" fillId="9" borderId="6" xfId="0" applyNumberFormat="1" applyFont="1" applyFill="1" applyBorder="1"/>
    <xf numFmtId="164" fontId="3" fillId="9" borderId="22" xfId="0" applyNumberFormat="1" applyFont="1" applyFill="1" applyBorder="1"/>
    <xf numFmtId="164" fontId="3" fillId="9" borderId="6" xfId="0" applyNumberFormat="1" applyFont="1" applyFill="1" applyBorder="1" applyAlignment="1">
      <alignment vertical="center" wrapText="1"/>
    </xf>
    <xf numFmtId="0" fontId="4" fillId="0" borderId="24" xfId="0" applyFont="1" applyBorder="1"/>
    <xf numFmtId="0" fontId="3" fillId="3" borderId="30" xfId="0" applyFont="1" applyFill="1" applyBorder="1" applyAlignment="1" applyProtection="1">
      <alignment vertical="center"/>
      <protection locked="0"/>
    </xf>
    <xf numFmtId="0" fontId="3" fillId="3" borderId="30" xfId="0" applyFont="1" applyFill="1" applyBorder="1" applyAlignment="1" applyProtection="1">
      <alignment vertical="center" wrapText="1"/>
      <protection locked="0"/>
    </xf>
    <xf numFmtId="0" fontId="18" fillId="0" borderId="24" xfId="0" applyFont="1" applyBorder="1" applyAlignment="1" applyProtection="1">
      <alignment vertical="center"/>
      <protection locked="0"/>
    </xf>
    <xf numFmtId="0" fontId="18" fillId="0" borderId="24" xfId="0" applyFont="1" applyBorder="1" applyAlignment="1" applyProtection="1">
      <alignment horizontal="center" vertical="center"/>
      <protection locked="0"/>
    </xf>
    <xf numFmtId="0" fontId="6" fillId="3" borderId="6" xfId="0" applyFont="1" applyFill="1" applyBorder="1" applyAlignment="1">
      <alignment horizontal="center" vertical="center" wrapText="1"/>
    </xf>
    <xf numFmtId="0" fontId="4" fillId="3" borderId="7" xfId="0" applyFont="1" applyFill="1" applyBorder="1" applyAlignment="1">
      <alignment vertical="center"/>
    </xf>
    <xf numFmtId="9" fontId="4" fillId="3" borderId="6" xfId="0" applyNumberFormat="1" applyFont="1" applyFill="1" applyBorder="1" applyAlignment="1">
      <alignment horizontal="center" vertical="center"/>
    </xf>
    <xf numFmtId="164" fontId="4" fillId="3" borderId="21" xfId="0" applyNumberFormat="1" applyFont="1" applyFill="1" applyBorder="1" applyAlignment="1">
      <alignment horizontal="center" vertical="center"/>
    </xf>
    <xf numFmtId="0" fontId="1" fillId="2" borderId="8" xfId="0" applyFont="1" applyFill="1" applyBorder="1" applyAlignment="1">
      <alignment vertical="center"/>
    </xf>
    <xf numFmtId="164" fontId="1" fillId="2" borderId="9" xfId="0" applyNumberFormat="1" applyFont="1" applyFill="1" applyBorder="1" applyAlignment="1">
      <alignment vertical="center"/>
    </xf>
    <xf numFmtId="164" fontId="1" fillId="2" borderId="9" xfId="0" applyNumberFormat="1" applyFont="1" applyFill="1" applyBorder="1" applyAlignment="1">
      <alignment horizontal="center" vertical="center"/>
    </xf>
    <xf numFmtId="164" fontId="1" fillId="2" borderId="16" xfId="0" applyNumberFormat="1" applyFont="1" applyFill="1" applyBorder="1" applyAlignment="1">
      <alignment vertical="center"/>
    </xf>
    <xf numFmtId="0" fontId="0" fillId="0" borderId="0" xfId="0" applyAlignment="1">
      <alignment horizontal="center" vertical="center"/>
    </xf>
    <xf numFmtId="0" fontId="22" fillId="0" borderId="24" xfId="0" applyFont="1" applyBorder="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3" fillId="3" borderId="4" xfId="0" applyFont="1" applyFill="1" applyBorder="1" applyAlignment="1">
      <alignment horizontal="center" vertical="center" wrapText="1"/>
    </xf>
    <xf numFmtId="0" fontId="2" fillId="0" borderId="20" xfId="0" applyFont="1" applyBorder="1" applyAlignment="1">
      <alignment horizontal="center" vertical="center"/>
    </xf>
    <xf numFmtId="0" fontId="3" fillId="3" borderId="27" xfId="0" applyFont="1" applyFill="1" applyBorder="1" applyAlignment="1">
      <alignment horizontal="center" vertical="center" wrapText="1"/>
    </xf>
    <xf numFmtId="0" fontId="2" fillId="0" borderId="19" xfId="0" applyFont="1" applyBorder="1" applyAlignment="1">
      <alignment horizontal="center" vertical="center"/>
    </xf>
    <xf numFmtId="0" fontId="3" fillId="3" borderId="3" xfId="0" applyFont="1" applyFill="1" applyBorder="1" applyAlignment="1">
      <alignment vertical="center" wrapText="1"/>
    </xf>
    <xf numFmtId="0" fontId="2" fillId="0" borderId="5" xfId="0" applyFont="1" applyBorder="1" applyAlignment="1">
      <alignment vertical="center"/>
    </xf>
    <xf numFmtId="0" fontId="3" fillId="3" borderId="19" xfId="0" applyFont="1" applyFill="1" applyBorder="1" applyAlignment="1">
      <alignment horizontal="center" vertical="center" wrapText="1"/>
    </xf>
    <xf numFmtId="0" fontId="3" fillId="3" borderId="29"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2" fillId="0" borderId="26" xfId="0" applyFont="1" applyBorder="1" applyAlignment="1">
      <alignment horizontal="center" vertical="center"/>
    </xf>
    <xf numFmtId="0" fontId="17" fillId="0" borderId="30" xfId="0" applyFont="1" applyBorder="1" applyAlignment="1" applyProtection="1">
      <alignment vertical="center"/>
      <protection locked="0"/>
    </xf>
    <xf numFmtId="0" fontId="1" fillId="2" borderId="30" xfId="0" applyFont="1" applyFill="1" applyBorder="1" applyAlignment="1">
      <alignment horizontal="center" vertical="center"/>
    </xf>
    <xf numFmtId="0" fontId="21" fillId="2" borderId="2" xfId="0" applyFont="1" applyFill="1" applyBorder="1" applyAlignment="1">
      <alignment horizontal="center" vertical="center"/>
    </xf>
    <xf numFmtId="0" fontId="21" fillId="2" borderId="24" xfId="0" applyFont="1" applyFill="1" applyBorder="1" applyAlignment="1">
      <alignment horizontal="center" vertical="center"/>
    </xf>
    <xf numFmtId="0" fontId="18" fillId="0" borderId="31" xfId="0" applyFont="1" applyBorder="1" applyAlignment="1" applyProtection="1">
      <alignment vertical="center"/>
      <protection locked="0"/>
    </xf>
    <xf numFmtId="0" fontId="18" fillId="0" borderId="32" xfId="0" applyFont="1" applyBorder="1" applyAlignment="1" applyProtection="1">
      <alignment vertical="center"/>
      <protection locked="0"/>
    </xf>
    <xf numFmtId="0" fontId="18" fillId="0" borderId="33" xfId="0" applyFont="1" applyBorder="1" applyAlignment="1" applyProtection="1">
      <alignment vertical="center"/>
      <protection locked="0"/>
    </xf>
    <xf numFmtId="0" fontId="3" fillId="5" borderId="18" xfId="0" applyFont="1" applyFill="1" applyBorder="1" applyAlignment="1" applyProtection="1">
      <alignment horizontal="center" vertical="center" wrapText="1"/>
      <protection locked="0"/>
    </xf>
    <xf numFmtId="0" fontId="2" fillId="0" borderId="20" xfId="0" applyFont="1" applyBorder="1" applyProtection="1">
      <protection locked="0"/>
    </xf>
    <xf numFmtId="3" fontId="3" fillId="15" borderId="21" xfId="0" applyNumberFormat="1" applyFont="1" applyFill="1" applyBorder="1" applyAlignment="1" applyProtection="1">
      <alignment horizontal="center" vertical="center" wrapText="1"/>
      <protection locked="0"/>
    </xf>
    <xf numFmtId="3" fontId="3" fillId="15" borderId="22" xfId="0" applyNumberFormat="1" applyFont="1" applyFill="1" applyBorder="1" applyAlignment="1" applyProtection="1">
      <alignment horizontal="center" vertical="center" wrapText="1"/>
      <protection locked="0"/>
    </xf>
    <xf numFmtId="0" fontId="4" fillId="3" borderId="23" xfId="0" applyFont="1" applyFill="1" applyBorder="1" applyAlignment="1" applyProtection="1">
      <alignment horizontal="left" vertical="center" wrapText="1"/>
      <protection locked="0"/>
    </xf>
    <xf numFmtId="0" fontId="2" fillId="0" borderId="23" xfId="0" applyFont="1" applyBorder="1" applyProtection="1">
      <protection locked="0"/>
    </xf>
    <xf numFmtId="0" fontId="2" fillId="0" borderId="24" xfId="0" applyFont="1" applyBorder="1" applyProtection="1">
      <protection locked="0"/>
    </xf>
    <xf numFmtId="0" fontId="0" fillId="0" borderId="0" xfId="0" applyProtection="1">
      <protection locked="0"/>
    </xf>
    <xf numFmtId="0" fontId="3" fillId="6" borderId="21" xfId="0" applyFont="1" applyFill="1" applyBorder="1" applyAlignment="1" applyProtection="1">
      <alignment horizontal="center" vertical="center" wrapText="1"/>
      <protection locked="0"/>
    </xf>
    <xf numFmtId="0" fontId="2" fillId="0" borderId="28" xfId="0" applyFont="1" applyBorder="1" applyProtection="1">
      <protection locked="0"/>
    </xf>
    <xf numFmtId="0" fontId="2" fillId="0" borderId="22" xfId="0" applyFont="1" applyBorder="1" applyProtection="1">
      <protection locked="0"/>
    </xf>
    <xf numFmtId="0" fontId="3" fillId="3" borderId="21" xfId="0" applyFont="1" applyFill="1" applyBorder="1" applyAlignment="1" applyProtection="1">
      <alignment horizontal="center" vertical="center" wrapText="1"/>
      <protection locked="0"/>
    </xf>
    <xf numFmtId="0" fontId="3" fillId="3" borderId="28" xfId="0" applyFont="1" applyFill="1" applyBorder="1" applyAlignment="1" applyProtection="1">
      <alignment horizontal="center" vertical="center" wrapText="1"/>
      <protection locked="0"/>
    </xf>
    <xf numFmtId="0" fontId="3" fillId="3" borderId="22" xfId="0" applyFont="1" applyFill="1" applyBorder="1" applyAlignment="1" applyProtection="1">
      <alignment horizontal="center" vertical="center" wrapText="1"/>
      <protection locked="0"/>
    </xf>
    <xf numFmtId="0" fontId="4" fillId="3" borderId="29" xfId="0" applyFont="1" applyFill="1" applyBorder="1" applyAlignment="1" applyProtection="1">
      <alignment horizontal="left" vertical="center" wrapText="1"/>
      <protection locked="0"/>
    </xf>
    <xf numFmtId="0" fontId="3" fillId="12" borderId="21" xfId="0" applyFont="1" applyFill="1" applyBorder="1" applyAlignment="1" applyProtection="1">
      <alignment horizontal="center" vertical="center" wrapText="1"/>
      <protection locked="0"/>
    </xf>
    <xf numFmtId="0" fontId="3" fillId="12" borderId="28" xfId="0" applyFont="1" applyFill="1" applyBorder="1" applyAlignment="1" applyProtection="1">
      <alignment horizontal="center" vertical="center" wrapText="1"/>
      <protection locked="0"/>
    </xf>
    <xf numFmtId="0" fontId="2" fillId="13" borderId="22" xfId="0" applyFont="1" applyFill="1" applyBorder="1" applyProtection="1">
      <protection locked="0"/>
    </xf>
    <xf numFmtId="0" fontId="3" fillId="12" borderId="18" xfId="0" applyFont="1" applyFill="1" applyBorder="1" applyAlignment="1" applyProtection="1">
      <alignment horizontal="center" vertical="center" wrapText="1"/>
      <protection locked="0"/>
    </xf>
    <xf numFmtId="0" fontId="2" fillId="13" borderId="20" xfId="0" applyFont="1" applyFill="1" applyBorder="1" applyProtection="1">
      <protection locked="0"/>
    </xf>
    <xf numFmtId="0" fontId="3" fillId="5" borderId="21" xfId="0" applyFont="1" applyFill="1" applyBorder="1" applyAlignment="1" applyProtection="1">
      <alignment horizontal="center" vertical="center" wrapText="1"/>
      <protection locked="0"/>
    </xf>
    <xf numFmtId="0" fontId="1" fillId="20" borderId="21" xfId="0" applyFont="1" applyFill="1" applyBorder="1" applyAlignment="1">
      <alignment horizontal="center" vertical="center"/>
    </xf>
    <xf numFmtId="0" fontId="1" fillId="20" borderId="28" xfId="0" applyFont="1" applyFill="1" applyBorder="1" applyAlignment="1">
      <alignment horizontal="center" vertical="center"/>
    </xf>
    <xf numFmtId="0" fontId="1" fillId="20" borderId="22" xfId="0" applyFont="1" applyFill="1" applyBorder="1" applyAlignment="1">
      <alignment horizontal="center" vertical="center"/>
    </xf>
    <xf numFmtId="0" fontId="7" fillId="3" borderId="24" xfId="0" applyFont="1" applyFill="1" applyBorder="1" applyAlignment="1">
      <alignment horizontal="left" vertical="center" wrapText="1"/>
    </xf>
    <xf numFmtId="0" fontId="2" fillId="0" borderId="24" xfId="0" applyFont="1" applyBorder="1"/>
    <xf numFmtId="0" fontId="3" fillId="3" borderId="18" xfId="0" applyFont="1" applyFill="1" applyBorder="1" applyAlignment="1">
      <alignment horizontal="center" vertical="center" wrapText="1"/>
    </xf>
    <xf numFmtId="0" fontId="2" fillId="0" borderId="20" xfId="0" applyFont="1" applyBorder="1"/>
    <xf numFmtId="0" fontId="3" fillId="3" borderId="21" xfId="0" applyFont="1" applyFill="1" applyBorder="1" applyAlignment="1">
      <alignment horizontal="center" vertical="center" wrapText="1"/>
    </xf>
    <xf numFmtId="0" fontId="2" fillId="0" borderId="22" xfId="0" applyFont="1" applyBorder="1"/>
    <xf numFmtId="0" fontId="3" fillId="3" borderId="25" xfId="0" applyFont="1" applyFill="1" applyBorder="1" applyAlignment="1">
      <alignment horizontal="center" vertical="center" wrapText="1"/>
    </xf>
    <xf numFmtId="0" fontId="2" fillId="0" borderId="26" xfId="0" applyFont="1" applyBorder="1"/>
    <xf numFmtId="0" fontId="3" fillId="3" borderId="21" xfId="0" applyFont="1" applyFill="1" applyBorder="1" applyAlignment="1">
      <alignment horizontal="center" vertical="center"/>
    </xf>
    <xf numFmtId="0" fontId="2" fillId="0" borderId="28" xfId="0" applyFont="1" applyBorder="1" applyAlignment="1">
      <alignment vertical="center"/>
    </xf>
    <xf numFmtId="0" fontId="2" fillId="0" borderId="22" xfId="0" applyFont="1" applyBorder="1" applyAlignment="1">
      <alignment vertical="center"/>
    </xf>
    <xf numFmtId="0" fontId="4" fillId="3" borderId="24" xfId="0" applyFont="1" applyFill="1" applyBorder="1" applyAlignment="1">
      <alignment horizontal="left" vertical="center" wrapText="1"/>
    </xf>
    <xf numFmtId="0" fontId="2" fillId="0" borderId="20" xfId="0" applyFont="1" applyBorder="1" applyAlignment="1">
      <alignment vertical="center"/>
    </xf>
    <xf numFmtId="0" fontId="14" fillId="3" borderId="21" xfId="0" applyFont="1" applyFill="1" applyBorder="1" applyAlignment="1">
      <alignment horizontal="center"/>
    </xf>
    <xf numFmtId="0" fontId="2" fillId="0" borderId="28" xfId="0" applyFont="1" applyBorder="1"/>
    <xf numFmtId="0" fontId="3" fillId="8" borderId="21" xfId="0" applyFont="1" applyFill="1" applyBorder="1" applyAlignment="1">
      <alignment horizontal="center"/>
    </xf>
    <xf numFmtId="0" fontId="3" fillId="3" borderId="6" xfId="0" applyFont="1" applyFill="1" applyBorder="1" applyAlignment="1">
      <alignment horizontal="center" vertical="center" wrapText="1"/>
    </xf>
    <xf numFmtId="0" fontId="2" fillId="0" borderId="6" xfId="0" applyFont="1" applyBorder="1"/>
    <xf numFmtId="0" fontId="14" fillId="3" borderId="22" xfId="0" applyFont="1" applyFill="1" applyBorder="1" applyAlignment="1">
      <alignment horizontal="center" vertical="center" wrapText="1"/>
    </xf>
    <xf numFmtId="0" fontId="7" fillId="3" borderId="27" xfId="0" applyFont="1" applyFill="1" applyBorder="1" applyAlignment="1">
      <alignment horizontal="left" vertical="center" wrapText="1"/>
    </xf>
    <xf numFmtId="0" fontId="3" fillId="7" borderId="18" xfId="0" applyFont="1" applyFill="1" applyBorder="1" applyAlignment="1">
      <alignment horizontal="center" vertical="center" wrapText="1"/>
    </xf>
    <xf numFmtId="0" fontId="3" fillId="9" borderId="21" xfId="0" applyFont="1" applyFill="1" applyBorder="1" applyAlignment="1">
      <alignment horizontal="center"/>
    </xf>
    <xf numFmtId="0" fontId="2" fillId="21" borderId="28" xfId="0" applyFont="1" applyFill="1" applyBorder="1"/>
    <xf numFmtId="0" fontId="2" fillId="21" borderId="22" xfId="0" applyFont="1" applyFill="1" applyBorder="1"/>
    <xf numFmtId="0" fontId="29" fillId="3" borderId="24" xfId="0" applyFont="1" applyFill="1" applyBorder="1" applyAlignment="1">
      <alignment horizontal="left" vertical="center" wrapText="1"/>
    </xf>
    <xf numFmtId="0" fontId="29" fillId="3" borderId="29" xfId="0" applyFont="1" applyFill="1" applyBorder="1" applyAlignment="1">
      <alignment horizontal="left" vertical="center" wrapText="1"/>
    </xf>
    <xf numFmtId="0" fontId="4" fillId="3" borderId="27" xfId="0" applyFont="1" applyFill="1" applyBorder="1" applyAlignment="1">
      <alignment horizontal="left" vertical="center" wrapText="1"/>
    </xf>
    <xf numFmtId="0" fontId="3" fillId="3" borderId="22" xfId="0" applyFont="1" applyFill="1" applyBorder="1" applyAlignment="1">
      <alignment horizontal="center" vertical="center" wrapText="1"/>
    </xf>
    <xf numFmtId="0" fontId="3" fillId="3" borderId="24" xfId="0" applyFont="1" applyFill="1" applyBorder="1" applyAlignment="1">
      <alignment horizontal="left"/>
    </xf>
    <xf numFmtId="0" fontId="2" fillId="0" borderId="24" xfId="0" applyFont="1" applyBorder="1" applyAlignment="1">
      <alignment vertical="center" wrapText="1"/>
    </xf>
    <xf numFmtId="0" fontId="7" fillId="3" borderId="24" xfId="0" applyFont="1" applyFill="1" applyBorder="1" applyAlignment="1">
      <alignment horizontal="left" vertical="top" wrapText="1"/>
    </xf>
    <xf numFmtId="0" fontId="14" fillId="9" borderId="21" xfId="0" applyFont="1" applyFill="1" applyBorder="1" applyAlignment="1">
      <alignment horizontal="center"/>
    </xf>
    <xf numFmtId="0" fontId="3" fillId="3" borderId="20"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29" fillId="3" borderId="24" xfId="0" applyFont="1" applyFill="1" applyBorder="1" applyAlignment="1">
      <alignment horizontal="left" vertical="top" wrapText="1"/>
    </xf>
    <xf numFmtId="0" fontId="29" fillId="3" borderId="29" xfId="0" applyFont="1" applyFill="1" applyBorder="1" applyAlignment="1">
      <alignment horizontal="left" vertical="top" wrapText="1"/>
    </xf>
    <xf numFmtId="3" fontId="4" fillId="10" borderId="27" xfId="0" applyNumberFormat="1" applyFont="1" applyFill="1" applyBorder="1" applyAlignment="1">
      <alignment vertical="center"/>
    </xf>
    <xf numFmtId="0" fontId="10" fillId="18" borderId="7" xfId="0" applyFont="1" applyFill="1" applyBorder="1" applyAlignment="1">
      <alignment horizontal="left" vertical="center" wrapText="1"/>
    </xf>
    <xf numFmtId="164" fontId="4" fillId="3" borderId="6" xfId="0" applyNumberFormat="1" applyFont="1" applyFill="1" applyBorder="1" applyAlignment="1">
      <alignment horizontal="center" vertical="center" wrapText="1"/>
    </xf>
    <xf numFmtId="0" fontId="4" fillId="3" borderId="21" xfId="0" applyFont="1" applyFill="1" applyBorder="1" applyAlignment="1">
      <alignment vertical="center" wrapText="1"/>
    </xf>
    <xf numFmtId="3" fontId="4" fillId="3" borderId="21" xfId="0" applyNumberFormat="1" applyFont="1" applyFill="1" applyBorder="1" applyAlignment="1">
      <alignment vertical="center" wrapText="1"/>
    </xf>
    <xf numFmtId="164" fontId="13" fillId="3" borderId="6" xfId="0" applyNumberFormat="1" applyFont="1" applyFill="1" applyBorder="1" applyAlignment="1">
      <alignment vertical="center"/>
    </xf>
    <xf numFmtId="0" fontId="7" fillId="3" borderId="6" xfId="0" applyFont="1" applyFill="1" applyBorder="1" applyAlignment="1">
      <alignment horizontal="center" vertical="center" wrapText="1"/>
    </xf>
    <xf numFmtId="0" fontId="7" fillId="3" borderId="19" xfId="0" applyFont="1" applyFill="1" applyBorder="1" applyAlignment="1">
      <alignment horizontal="center" vertical="center" wrapText="1"/>
    </xf>
    <xf numFmtId="164" fontId="4" fillId="3" borderId="19" xfId="0" applyNumberFormat="1" applyFont="1" applyFill="1" applyBorder="1" applyAlignment="1">
      <alignment horizontal="center" vertical="center" wrapText="1"/>
    </xf>
    <xf numFmtId="3" fontId="4" fillId="10" borderId="36" xfId="0" applyNumberFormat="1" applyFont="1" applyFill="1" applyBorder="1" applyAlignment="1">
      <alignment vertical="center"/>
    </xf>
    <xf numFmtId="0" fontId="4" fillId="10" borderId="36" xfId="0" applyFont="1" applyFill="1" applyBorder="1" applyAlignment="1">
      <alignment vertical="center"/>
    </xf>
    <xf numFmtId="0" fontId="4" fillId="18" borderId="37" xfId="0" applyFont="1" applyFill="1" applyBorder="1" applyAlignment="1">
      <alignment horizontal="center" vertical="center"/>
    </xf>
    <xf numFmtId="164" fontId="4" fillId="10" borderId="24" xfId="0" applyNumberFormat="1" applyFont="1" applyFill="1" applyBorder="1" applyAlignment="1">
      <alignment horizontal="center" vertical="center"/>
    </xf>
    <xf numFmtId="3" fontId="4" fillId="10" borderId="30" xfId="0" applyNumberFormat="1" applyFont="1" applyFill="1" applyBorder="1" applyAlignment="1">
      <alignment vertical="center"/>
    </xf>
    <xf numFmtId="164" fontId="4" fillId="10" borderId="30"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O%20DEFINITIVO%202011/MEDICINA/ODONTOLOGIA%20PTO%202011/ENFERMERIA/ENFERMERIA%20PREGRADO%2020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LAUSTRO/2012-01/PPTO%20KATHERINNE/FACULTAD%20DE%20INGENIERIA%202012/DIRECCION%20FACULTAD%20201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LAUSTRO/2011-01/EJECUCION%20PRESUPUESTAL%2020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casta&#241;ojorge/AppData/Local/Microsoft/Windows/Temporary%20Internet%20Files/Content.Outlook/2YXQ44FP/Artes%20plasticas/ARTES%20PLASTICAS%2020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casta&#241;ojorge/AppData/Local/Microsoft/Windows/Temporary%20Internet%20Files/Content.Outlook/2YXQ44FP/Arte%20dram&#225;tico/ARTE_DRAMATICO_20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O%20DEFINITIVO%202011/PRESUPUESTO%202011%20-%20FEBRERO%201%2020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RESUPUESTO"/>
      <sheetName val="RES.GESTION"/>
      <sheetName val="ALUMNOS"/>
      <sheetName val="MAT."/>
      <sheetName val="NOMINA"/>
      <sheetName val="HONORARIOS"/>
      <sheetName val="CONVENIOS"/>
      <sheetName val="EDUC.CONT."/>
      <sheetName val="ASESOR.Y.CONSULT."/>
      <sheetName val="PROY INVEST."/>
      <sheetName val="P.PROY.SOCIAL"/>
      <sheetName val="GEST.REC.HUM."/>
      <sheetName val="OTROS PROY."/>
      <sheetName val="SALIDAS"/>
      <sheetName val="BIBLIOTECA"/>
      <sheetName val="AFILIACIONES"/>
      <sheetName val="IMPRESOS.PUBLIC"/>
      <sheetName val="MANTEN.EQUIP."/>
      <sheetName val="INVER.EQUIPO.COMP"/>
      <sheetName val="INVER.OTROS.EQUIPOS"/>
      <sheetName val="INVER.MUEBLES"/>
      <sheetName val="ADECUAC.LOCATIVAS"/>
      <sheetName val="Hoja1"/>
      <sheetName val="Base 1"/>
      <sheetName val="Base 2"/>
      <sheetName val="Base 3"/>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RESUPUESTO"/>
      <sheetName val="RES.GESTION"/>
      <sheetName val="ALUMNOS"/>
      <sheetName val="MAT."/>
      <sheetName val="NOMINA"/>
      <sheetName val="Hoja2"/>
      <sheetName val="HONORARIOS"/>
      <sheetName val="CONVENIOS"/>
      <sheetName val="EDUC.CONT."/>
      <sheetName val="ASESOR.Y.CONSULT."/>
      <sheetName val="PROY INVEST."/>
      <sheetName val="P.PROY.SOCIAL"/>
      <sheetName val="GEST.REC.HUM."/>
      <sheetName val="OTROS PROY."/>
      <sheetName val="SALIDAS"/>
      <sheetName val="BIBLIOTECA"/>
      <sheetName val="AFILIACIONES"/>
      <sheetName val="IMPRESOS.PUBLIC"/>
      <sheetName val="MANTEN.EQUIP."/>
      <sheetName val="INVER.EQUIPO.COMP"/>
      <sheetName val="INVER.OTROS.EQUIPOS"/>
      <sheetName val="INVER.MUEBLES"/>
      <sheetName val="ADECUAC.LOCATIVAS"/>
      <sheetName val="Base 3"/>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CONS."/>
      <sheetName val="Inversiones 2010"/>
      <sheetName val="Hoja20"/>
      <sheetName val="GRAF.EJEC.CONS"/>
      <sheetName val="Grafica de Ingresos"/>
      <sheetName val="Grafica de Gastos"/>
      <sheetName val="RESUMEN"/>
      <sheetName val="EJEC. INGRESOS"/>
      <sheetName val="GRAF EJEC INGRESOS"/>
      <sheetName val="EJEC.GASTOS"/>
      <sheetName val="GRAF EJEC GASTOS"/>
      <sheetName val="EJEC.EXCEDENTES"/>
      <sheetName val="GRAF EJEC EXCEDENTES"/>
      <sheetName val="MEDICINA"/>
      <sheetName val="Preg MED"/>
      <sheetName val="Anestesia y Ream"/>
      <sheetName val="Anestesia C y T"/>
      <sheetName val="Cardiología"/>
      <sheetName val="Card. Ped."/>
      <sheetName val="Cir. Columna"/>
      <sheetName val="Cir. Mano"/>
      <sheetName val="Cir. Torax"/>
      <sheetName val="Cir. Gral"/>
      <sheetName val="Cir. Plas"/>
      <sheetName val="Cir. Vascular"/>
      <sheetName val="Dermatologia"/>
      <sheetName val="Epid. Clinica"/>
      <sheetName val="Epid. Gral"/>
      <sheetName val="Ergonomia"/>
      <sheetName val="Gastro. Ped."/>
      <sheetName val="Ger. Calidad S"/>
      <sheetName val="Gine. y Obs."/>
      <sheetName val="M. interna"/>
      <sheetName val="Higiene I."/>
      <sheetName val="Med. Critica"/>
      <sheetName val="Med. Deporte"/>
      <sheetName val="Med. Dolor"/>
      <sheetName val="Med. Fam"/>
      <sheetName val="Med. Fisi y R"/>
      <sheetName val="Nefro. P."/>
      <sheetName val="Neonatologia"/>
      <sheetName val="Neumologia"/>
      <sheetName val="Neumologia P"/>
      <sheetName val="Neurocirugia"/>
      <sheetName val="Neurologia"/>
      <sheetName val="Oftalmologia"/>
      <sheetName val="Oncologia"/>
      <sheetName val="Ortopedia"/>
      <sheetName val="Psiquiatria"/>
      <sheetName val="Pediatria"/>
      <sheetName val="Psi. Inf."/>
      <sheetName val="Psi. Enlace"/>
      <sheetName val="Radiologia"/>
      <sheetName val="Reumatologia"/>
      <sheetName val="Salud Fam."/>
      <sheetName val="Salud Ocup."/>
      <sheetName val="Urologia"/>
      <sheetName val="Maestria Ciencias B"/>
      <sheetName val="Admon Post.M"/>
      <sheetName val="Lab. Med"/>
      <sheetName val="E. Continuda M"/>
      <sheetName val="Prog. Esp. Med."/>
      <sheetName val="Lab. Cir. Exper."/>
      <sheetName val="ODONTOL."/>
      <sheetName val="Preg ODO"/>
      <sheetName val="Cir.O"/>
      <sheetName val="Perio"/>
      <sheetName val="Ortod"/>
      <sheetName val="Odontp"/>
      <sheetName val="Prost"/>
      <sheetName val="End"/>
      <sheetName val="Oper.D"/>
      <sheetName val="Ad.Pos ODO"/>
      <sheetName val="Clin ODO"/>
      <sheetName val="Edu.Cont ODO"/>
      <sheetName val="Prog.Esp ODO"/>
      <sheetName val="ENFERM"/>
      <sheetName val="PREG ENF"/>
      <sheetName val="MAEST ENF"/>
      <sheetName val="EDUCONT ENF"/>
      <sheetName val="INST.QUIR."/>
      <sheetName val="Preg INST"/>
      <sheetName val="OPTOM."/>
      <sheetName val="Preg OPT"/>
      <sheetName val="BIOLOGIA"/>
      <sheetName val="PREG BIOL"/>
      <sheetName val="PROG.ESP BIOL"/>
      <sheetName val="EDUCONT BIOL"/>
      <sheetName val="ADMON EMP"/>
      <sheetName val="PREG ADM"/>
      <sheetName val="EDUCONT ADM"/>
      <sheetName val="DISEÑO"/>
      <sheetName val="PREG DIS"/>
      <sheetName val="CTRO DIS"/>
      <sheetName val="PROG.ESP DIS"/>
      <sheetName val="EDUCONT DIS"/>
      <sheetName val="PSICOL"/>
      <sheetName val="Preg.D PSIC"/>
      <sheetName val="Preg.N PSIC"/>
      <sheetName val="Ps.Salu"/>
      <sheetName val="Ps.Ocu"/>
      <sheetName val="Ps.Dep"/>
      <sheetName val="Ps.Soc"/>
      <sheetName val="Ps.Cl.Aut"/>
      <sheetName val="Ps.Cl.Inf"/>
      <sheetName val="Maes"/>
      <sheetName val="A.Post PSIC"/>
      <sheetName val="Labor PSIC"/>
      <sheetName val="Educ.C PSIC"/>
      <sheetName val="ING AMB."/>
      <sheetName val="Preg AMB"/>
      <sheetName val="Sal.y Amb"/>
      <sheetName val="Labor AMB"/>
      <sheetName val="Educ.Cont AMB"/>
      <sheetName val="Prog.Esp AMB"/>
      <sheetName val="SISTEMAS"/>
      <sheetName val="Preg.D SIS"/>
      <sheetName val="Preg.N SIS"/>
      <sheetName val="Educ.Cont SIS"/>
      <sheetName val="ING ELEC."/>
      <sheetName val="Preg.D ELEC"/>
      <sheetName val="Preg.N ELE"/>
      <sheetName val="Educ.Cont ELE"/>
      <sheetName val="Labor ELEC"/>
      <sheetName val="INDUST."/>
      <sheetName val="PREG IIND"/>
      <sheetName val="Ger.Proy"/>
      <sheetName val="GER.PROD"/>
      <sheetName val="Educ.Cont IIND"/>
      <sheetName val="MUSICA"/>
      <sheetName val="Preg MUS"/>
      <sheetName val="Orqu"/>
      <sheetName val="Educ.Cont MUS"/>
      <sheetName val="ARTE DRAM."/>
      <sheetName val="PREG ARTE D"/>
      <sheetName val="EDUCONT DRAM"/>
      <sheetName val="ART. PLAST."/>
      <sheetName val="PREG ART PLAS"/>
      <sheetName val="EDUCONT ART PLA"/>
      <sheetName val="FAC EDUC."/>
      <sheetName val="lic.educ.bil"/>
      <sheetName val="lic.ped.inf"/>
      <sheetName val="Esp.Educ.Bil"/>
      <sheetName val="Ctro.Leng"/>
      <sheetName val="Prog.Esp EDU"/>
      <sheetName val="Educ.D"/>
      <sheetName val="Adm.F.Educ"/>
      <sheetName val="Educ.Con EDU"/>
      <sheetName val="Esp.Doc.Univ"/>
      <sheetName val="BIOETICA"/>
      <sheetName val="ESPEC BIOE"/>
      <sheetName val="MAEST BIOE"/>
      <sheetName val="DOCT BIOE"/>
      <sheetName val="EDUCONT BIOE"/>
      <sheetName val="DPTO BIOE"/>
      <sheetName val="HUMAN."/>
      <sheetName val="Preg HUM"/>
      <sheetName val="Esp.Fil"/>
      <sheetName val="Dpto HUM"/>
      <sheetName val="Educ.Cont HUM"/>
      <sheetName val="COLEGIO"/>
      <sheetName val="COLEG"/>
      <sheetName val="BASICO"/>
      <sheetName val="BASIC"/>
      <sheetName val="PRE-ICFES"/>
      <sheetName val="SIM CLIN"/>
      <sheetName val="Educ.Cont SIM"/>
      <sheetName val="Dpto SIM"/>
      <sheetName val="INVEST."/>
      <sheetName val="UIBO"/>
      <sheetName val="Biolog.M"/>
      <sheetName val="Gen.Mol"/>
      <sheetName val="Neuroc"/>
      <sheetName val="Sal.Amb"/>
      <sheetName val="UGRA"/>
      <sheetName val="Virol"/>
      <sheetName val="Admon INV"/>
      <sheetName val="Educont INV."/>
      <sheetName val="ADMON GEN."/>
      <sheetName val="AdmonGral"/>
      <sheetName val="Bienestar"/>
      <sheetName val="Tecnol"/>
      <sheetName val="Bibliot"/>
      <sheetName val="Audiov"/>
      <sheetName val="Admon Post"/>
      <sheetName val="Admon Educont"/>
      <sheetName val="Clin.Nva"/>
      <sheetName val="Matem"/>
      <sheetName val="ESP-MAE-DOCT"/>
      <sheetName val="EDU.CONT"/>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MENU"/>
      <sheetName val="PRESUPUESTO"/>
      <sheetName val="RES.GESTION"/>
      <sheetName val="ALUMNOS"/>
      <sheetName val="MAT."/>
      <sheetName val="NOMINA"/>
      <sheetName val="Hoja2"/>
      <sheetName val="HONORARIOS"/>
      <sheetName val="CONVENIOS"/>
      <sheetName val="EDUC.CONT."/>
      <sheetName val="ASESOR.Y.CONSULT."/>
      <sheetName val="PROY INVEST."/>
      <sheetName val="P.PROY.SOCIAL"/>
      <sheetName val="GEST.REC.HUM."/>
      <sheetName val="OTROS PROY."/>
      <sheetName val="SALIDAS"/>
      <sheetName val="BIBLIOTECA"/>
      <sheetName val="AFILIACIONES"/>
      <sheetName val="IMPRESOS.PUBLIC"/>
      <sheetName val="MANTEN.EQUIP."/>
      <sheetName val="INVER.EQUIPO.COMP"/>
      <sheetName val="INVER.OTROS.EQUIPOS"/>
      <sheetName val="INVER.MUEBLES"/>
      <sheetName val="ADECUAC.LOCATIVAS"/>
      <sheetName val="Base 3"/>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RESUPUESTO"/>
      <sheetName val="RES.GESTION"/>
      <sheetName val="ALUMNOS"/>
      <sheetName val="MAT."/>
      <sheetName val="NOMINA"/>
      <sheetName val="Hoja2"/>
      <sheetName val="HONORARIOS"/>
      <sheetName val="CONVENIOS"/>
      <sheetName val="EDUC.CONT."/>
      <sheetName val="ASESOR.Y.CONSULT."/>
      <sheetName val="PROY INVEST."/>
      <sheetName val="P.PROY.SOCIAL"/>
      <sheetName val="GEST.REC.HUM."/>
      <sheetName val="OTROS PROY."/>
      <sheetName val="SALIDAS"/>
      <sheetName val="BIBLIOTECA"/>
      <sheetName val="AFILIACIONES"/>
      <sheetName val="IMPRESOS.PUBLIC"/>
      <sheetName val="MANTEN.EQUIP."/>
      <sheetName val="INVER.EQUIPO.COMP"/>
      <sheetName val="INVER.OTROS.EQUIPOS"/>
      <sheetName val="INVER.MUEBLES"/>
      <sheetName val="ADECUAC.LOCATIVAS"/>
      <sheetName val="EJE JULIO NOV"/>
      <sheetName val="Base 3"/>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ONSOLIDADO (2)"/>
      <sheetName val="COMP"/>
      <sheetName val="BALAN"/>
      <sheetName val="INVERS"/>
      <sheetName val="CONSOLIDADO"/>
      <sheetName val="Hoja1"/>
      <sheetName val="Hoja2"/>
      <sheetName val="MEDICINA"/>
      <sheetName val="ODONTOLOGIA"/>
      <sheetName val="ENFERMERIA"/>
      <sheetName val="OPTOMETRIA"/>
      <sheetName val="INSTRUM.QUIR."/>
      <sheetName val="BIOLOGIA"/>
      <sheetName val="ADMON EMP."/>
      <sheetName val="DISEÑO"/>
      <sheetName val="PSICOLOGIA"/>
      <sheetName val="ING.AMBIENT"/>
      <sheetName val="ING ELECT"/>
      <sheetName val="ING INDUST"/>
      <sheetName val="ING SISTEM"/>
      <sheetName val="FOR.MUSIC"/>
      <sheetName val="ARTES PLAST"/>
      <sheetName val="ARTES ESCEN"/>
      <sheetName val="FAC.EDUCAC"/>
      <sheetName val="BIOETICA"/>
      <sheetName val="HUMANIDADES"/>
      <sheetName val="COLEGIO"/>
      <sheetName val="CURSO BAS"/>
      <sheetName val="SIMULACION"/>
      <sheetName val="DIV INVEST"/>
      <sheetName val="ADMON GENERAL"/>
      <sheetName val="CONSOL.EDU.CONT"/>
      <sheetName val="CONSOL.POS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E9F3-46E8-4287-8964-D64299109550}">
  <dimension ref="A1:M83"/>
  <sheetViews>
    <sheetView showGridLines="0" workbookViewId="0">
      <pane ySplit="2" topLeftCell="A3" activePane="bottomLeft" state="frozen"/>
      <selection pane="bottomLeft" activeCell="B42" sqref="B42"/>
    </sheetView>
    <sheetView workbookViewId="1">
      <selection sqref="A1:L1"/>
    </sheetView>
  </sheetViews>
  <sheetFormatPr defaultColWidth="0" defaultRowHeight="12.75" x14ac:dyDescent="0.2"/>
  <cols>
    <col min="1" max="1" width="33.5703125" style="53" bestFit="1" customWidth="1"/>
    <col min="2" max="2" width="23.140625" style="53" bestFit="1" customWidth="1"/>
    <col min="3" max="3" width="18.5703125" style="53" bestFit="1" customWidth="1"/>
    <col min="4" max="4" width="18.7109375" style="53" customWidth="1"/>
    <col min="5" max="5" width="18.28515625" style="53" bestFit="1" customWidth="1"/>
    <col min="6" max="6" width="12.28515625" style="53" bestFit="1" customWidth="1"/>
    <col min="7" max="7" width="14.140625" style="53" bestFit="1" customWidth="1"/>
    <col min="8" max="8" width="13.7109375" style="53" bestFit="1" customWidth="1"/>
    <col min="9" max="9" width="6.28515625" style="53" bestFit="1" customWidth="1"/>
    <col min="10" max="10" width="11.42578125" style="53" bestFit="1" customWidth="1"/>
    <col min="11" max="11" width="22.28515625" style="53" bestFit="1" customWidth="1"/>
    <col min="12" max="12" width="15.7109375" style="53" bestFit="1" customWidth="1"/>
    <col min="13" max="13" width="11.42578125" style="53" customWidth="1"/>
    <col min="14" max="18" width="11.42578125" style="53" hidden="1" customWidth="1"/>
    <col min="19" max="16384" width="11.42578125" style="53" hidden="1"/>
  </cols>
  <sheetData>
    <row r="1" spans="1:12" ht="13.5" thickBot="1" x14ac:dyDescent="0.25">
      <c r="A1" s="223" t="s">
        <v>0</v>
      </c>
      <c r="B1" s="223"/>
      <c r="C1" s="223"/>
      <c r="D1" s="223"/>
      <c r="E1" s="223"/>
      <c r="F1" s="223"/>
      <c r="G1" s="223"/>
      <c r="H1" s="223"/>
      <c r="I1" s="223"/>
      <c r="J1" s="223"/>
      <c r="K1" s="223"/>
      <c r="L1" s="223"/>
    </row>
    <row r="2" spans="1:12" ht="23.25" thickBot="1" x14ac:dyDescent="0.25">
      <c r="A2" s="56" t="s">
        <v>1</v>
      </c>
      <c r="B2" s="57" t="s">
        <v>2</v>
      </c>
      <c r="C2" s="57" t="s">
        <v>3</v>
      </c>
      <c r="D2" s="4" t="s">
        <v>4</v>
      </c>
      <c r="E2" s="57" t="s">
        <v>5</v>
      </c>
      <c r="F2" s="57" t="s">
        <v>6</v>
      </c>
      <c r="G2" s="57" t="s">
        <v>7</v>
      </c>
      <c r="H2" s="57" t="s">
        <v>8</v>
      </c>
      <c r="I2" s="57" t="s">
        <v>9</v>
      </c>
      <c r="J2" s="58" t="s">
        <v>10</v>
      </c>
      <c r="K2" s="57" t="s">
        <v>11</v>
      </c>
      <c r="L2" s="59" t="s">
        <v>12</v>
      </c>
    </row>
    <row r="3" spans="1:12" x14ac:dyDescent="0.2">
      <c r="A3" s="80" t="s">
        <v>15</v>
      </c>
      <c r="B3" s="81"/>
      <c r="C3" s="82">
        <f>A5</f>
        <v>269600</v>
      </c>
      <c r="D3" s="82">
        <f>C3*51.842%</f>
        <v>139766.03200000001</v>
      </c>
      <c r="E3" s="82">
        <f>C3+D3</f>
        <v>409366.03200000001</v>
      </c>
      <c r="F3" s="83">
        <v>0</v>
      </c>
      <c r="G3" s="82">
        <f>E3*F3</f>
        <v>0</v>
      </c>
      <c r="H3" s="82">
        <f>G3+E3</f>
        <v>409366.03200000001</v>
      </c>
      <c r="I3" s="84">
        <v>12</v>
      </c>
      <c r="J3" s="85">
        <v>194752.54920000001</v>
      </c>
      <c r="K3" s="82">
        <f>I3*H3</f>
        <v>4912392.3839999996</v>
      </c>
      <c r="L3" s="86"/>
    </row>
    <row r="4" spans="1:12" x14ac:dyDescent="0.2">
      <c r="A4" s="87" t="s">
        <v>13</v>
      </c>
      <c r="B4" s="88">
        <v>2</v>
      </c>
      <c r="C4" s="89">
        <f>H3</f>
        <v>409366.03200000001</v>
      </c>
      <c r="D4" s="89">
        <v>0</v>
      </c>
      <c r="E4" s="89">
        <f>C4+D4</f>
        <v>409366.03200000001</v>
      </c>
      <c r="F4" s="90">
        <v>0.08</v>
      </c>
      <c r="G4" s="89">
        <f>E4*F4</f>
        <v>32749.28256</v>
      </c>
      <c r="H4" s="316">
        <f>G4+E4</f>
        <v>442115.31456000003</v>
      </c>
      <c r="I4" s="91">
        <v>12</v>
      </c>
      <c r="J4" s="317">
        <v>210332.75313599998</v>
      </c>
      <c r="K4" s="316">
        <f>I4*H4</f>
        <v>5305383.7747200001</v>
      </c>
      <c r="L4" s="312"/>
    </row>
    <row r="5" spans="1:12" x14ac:dyDescent="0.2">
      <c r="A5" s="93">
        <f>5392000/40*B4</f>
        <v>269600</v>
      </c>
      <c r="B5" s="94"/>
      <c r="C5" s="89">
        <f>H4</f>
        <v>442115.31456000003</v>
      </c>
      <c r="D5" s="89">
        <v>0</v>
      </c>
      <c r="E5" s="89">
        <f>C5+D5</f>
        <v>442115.31456000003</v>
      </c>
      <c r="F5" s="90">
        <v>0.08</v>
      </c>
      <c r="G5" s="89">
        <f>E5*F5</f>
        <v>35369.225164800002</v>
      </c>
      <c r="H5" s="316">
        <f>G5+E5</f>
        <v>477484.53972480004</v>
      </c>
      <c r="I5" s="91">
        <v>6</v>
      </c>
      <c r="J5" s="317">
        <v>227159.37338688</v>
      </c>
      <c r="K5" s="316">
        <f>I5*H5</f>
        <v>2864907.2383488002</v>
      </c>
      <c r="L5" s="313"/>
    </row>
    <row r="6" spans="1:12" x14ac:dyDescent="0.2">
      <c r="A6" s="96" t="s">
        <v>160</v>
      </c>
      <c r="B6" s="97"/>
      <c r="C6" s="89">
        <f>H5</f>
        <v>477484.53972480004</v>
      </c>
      <c r="D6" s="89">
        <v>0</v>
      </c>
      <c r="E6" s="89">
        <f>C6+D6</f>
        <v>477484.53972480004</v>
      </c>
      <c r="F6" s="90">
        <v>0.08</v>
      </c>
      <c r="G6" s="89">
        <f>E6*F6</f>
        <v>38198.763177984001</v>
      </c>
      <c r="H6" s="303">
        <v>0</v>
      </c>
      <c r="I6" s="314">
        <v>0</v>
      </c>
      <c r="J6" s="315">
        <v>245332.12325783042</v>
      </c>
      <c r="K6" s="303">
        <f>I6*H6</f>
        <v>0</v>
      </c>
      <c r="L6" s="92"/>
    </row>
    <row r="7" spans="1:12" x14ac:dyDescent="0.2">
      <c r="A7" s="98"/>
      <c r="B7" s="99"/>
      <c r="C7" s="89">
        <f>H6</f>
        <v>0</v>
      </c>
      <c r="D7" s="89">
        <v>0</v>
      </c>
      <c r="E7" s="89">
        <f>C7+D7</f>
        <v>0</v>
      </c>
      <c r="F7" s="90">
        <v>0.08</v>
      </c>
      <c r="G7" s="89">
        <f>E7*F7</f>
        <v>0</v>
      </c>
      <c r="H7" s="89">
        <f>G7+E7</f>
        <v>0</v>
      </c>
      <c r="I7" s="100">
        <v>0</v>
      </c>
      <c r="J7" s="101">
        <v>264958.69311845687</v>
      </c>
      <c r="K7" s="89">
        <f>I7*H7</f>
        <v>0</v>
      </c>
      <c r="L7" s="92"/>
    </row>
    <row r="8" spans="1:12" ht="13.5" thickBot="1" x14ac:dyDescent="0.25">
      <c r="A8" s="102"/>
      <c r="B8" s="103"/>
      <c r="C8" s="104"/>
      <c r="D8" s="104"/>
      <c r="E8" s="104"/>
      <c r="F8" s="105"/>
      <c r="G8" s="104"/>
      <c r="H8" s="104"/>
      <c r="I8" s="106">
        <f>SUBTOTAL(109,I3:I7)</f>
        <v>30</v>
      </c>
      <c r="J8" s="107"/>
      <c r="K8" s="104"/>
      <c r="L8" s="108">
        <f>SUM(K3:K7)</f>
        <v>13082683.3970688</v>
      </c>
    </row>
    <row r="9" spans="1:12" x14ac:dyDescent="0.2">
      <c r="A9" s="80" t="s">
        <v>16</v>
      </c>
      <c r="B9" s="81"/>
      <c r="C9" s="82">
        <f>A11</f>
        <v>336400</v>
      </c>
      <c r="D9" s="82">
        <f>C9*51.842%</f>
        <v>174396.48799999998</v>
      </c>
      <c r="E9" s="82">
        <f>C9+D9</f>
        <v>510796.48800000001</v>
      </c>
      <c r="F9" s="83">
        <v>0</v>
      </c>
      <c r="G9" s="82">
        <f>E9*F9</f>
        <v>0</v>
      </c>
      <c r="H9" s="82">
        <f>G9+E9</f>
        <v>510796.48800000001</v>
      </c>
      <c r="I9" s="84">
        <v>12</v>
      </c>
      <c r="J9" s="85">
        <v>243190.14720000001</v>
      </c>
      <c r="K9" s="82">
        <f>I9*H9</f>
        <v>6129557.8560000006</v>
      </c>
      <c r="L9" s="86"/>
    </row>
    <row r="10" spans="1:12" x14ac:dyDescent="0.2">
      <c r="A10" s="87" t="s">
        <v>13</v>
      </c>
      <c r="B10" s="88">
        <v>2</v>
      </c>
      <c r="C10" s="89">
        <f>H9</f>
        <v>510796.48800000001</v>
      </c>
      <c r="D10" s="89">
        <v>0</v>
      </c>
      <c r="E10" s="89">
        <f>C10+D10</f>
        <v>510796.48800000001</v>
      </c>
      <c r="F10" s="90">
        <v>0.08</v>
      </c>
      <c r="G10" s="89">
        <f>E10*F10</f>
        <v>40863.719040000004</v>
      </c>
      <c r="H10" s="89">
        <f>G10+E10</f>
        <v>551660.20704000001</v>
      </c>
      <c r="I10" s="109">
        <v>12</v>
      </c>
      <c r="J10" s="101">
        <v>262645.35897599999</v>
      </c>
      <c r="K10" s="89">
        <f>I10*H10</f>
        <v>6619922.4844800001</v>
      </c>
      <c r="L10" s="92"/>
    </row>
    <row r="11" spans="1:12" x14ac:dyDescent="0.2">
      <c r="A11" s="93">
        <f>6728000/40*B10</f>
        <v>336400</v>
      </c>
      <c r="B11" s="94"/>
      <c r="C11" s="89">
        <f>H10</f>
        <v>551660.20704000001</v>
      </c>
      <c r="D11" s="89">
        <v>0</v>
      </c>
      <c r="E11" s="89">
        <f>C11+D11</f>
        <v>551660.20704000001</v>
      </c>
      <c r="F11" s="90">
        <v>0.08</v>
      </c>
      <c r="G11" s="89">
        <f>E11*F11</f>
        <v>44132.816563200002</v>
      </c>
      <c r="H11" s="89">
        <f>G11+E11</f>
        <v>595793.02360319998</v>
      </c>
      <c r="I11" s="109">
        <v>6</v>
      </c>
      <c r="J11" s="101">
        <v>283656.98769407999</v>
      </c>
      <c r="K11" s="89">
        <f>I11*H11</f>
        <v>3574758.1416191999</v>
      </c>
      <c r="L11" s="95"/>
    </row>
    <row r="12" spans="1:12" x14ac:dyDescent="0.2">
      <c r="A12" s="304" t="s">
        <v>155</v>
      </c>
      <c r="B12" s="97"/>
      <c r="C12" s="89">
        <f>H11</f>
        <v>595793.02360319998</v>
      </c>
      <c r="D12" s="89">
        <v>0</v>
      </c>
      <c r="E12" s="89">
        <f>C12+D12</f>
        <v>595793.02360319998</v>
      </c>
      <c r="F12" s="90">
        <v>0.08</v>
      </c>
      <c r="G12" s="89">
        <f>E12*F12</f>
        <v>47663.441888255998</v>
      </c>
      <c r="H12" s="89">
        <f>G12+E12</f>
        <v>643456.46549145598</v>
      </c>
      <c r="I12" s="110">
        <v>0</v>
      </c>
      <c r="J12" s="101">
        <v>306349.54670960637</v>
      </c>
      <c r="K12" s="89">
        <f>I12*H12</f>
        <v>0</v>
      </c>
      <c r="L12" s="92"/>
    </row>
    <row r="13" spans="1:12" x14ac:dyDescent="0.2">
      <c r="A13" s="111"/>
      <c r="B13" s="99"/>
      <c r="C13" s="89">
        <f>H12</f>
        <v>643456.46549145598</v>
      </c>
      <c r="D13" s="89">
        <v>0</v>
      </c>
      <c r="E13" s="89">
        <f>C13+D13</f>
        <v>643456.46549145598</v>
      </c>
      <c r="F13" s="90">
        <v>0.08</v>
      </c>
      <c r="G13" s="89">
        <f>E13*F13</f>
        <v>51476.517239316483</v>
      </c>
      <c r="H13" s="89">
        <f>G13+E13</f>
        <v>694932.98273077246</v>
      </c>
      <c r="I13" s="110">
        <v>0</v>
      </c>
      <c r="J13" s="101">
        <v>330857.51044637489</v>
      </c>
      <c r="K13" s="89">
        <f>I13*H13</f>
        <v>0</v>
      </c>
      <c r="L13" s="92"/>
    </row>
    <row r="14" spans="1:12" ht="13.5" thickBot="1" x14ac:dyDescent="0.25">
      <c r="A14" s="102"/>
      <c r="B14" s="103"/>
      <c r="C14" s="104"/>
      <c r="D14" s="104"/>
      <c r="E14" s="104"/>
      <c r="F14" s="105"/>
      <c r="G14" s="104"/>
      <c r="H14" s="104"/>
      <c r="I14" s="106">
        <f>SUBTOTAL(109,I9:I13)</f>
        <v>30</v>
      </c>
      <c r="J14" s="107"/>
      <c r="K14" s="104"/>
      <c r="L14" s="108">
        <f>SUM(K9:K13)</f>
        <v>16324238.4820992</v>
      </c>
    </row>
    <row r="15" spans="1:12" x14ac:dyDescent="0.2">
      <c r="A15" s="80" t="s">
        <v>16</v>
      </c>
      <c r="B15" s="81"/>
      <c r="C15" s="82">
        <f>A17</f>
        <v>336400</v>
      </c>
      <c r="D15" s="82">
        <f>C15*51.842%</f>
        <v>174396.48799999998</v>
      </c>
      <c r="E15" s="82">
        <f>C15+D15</f>
        <v>510796.48800000001</v>
      </c>
      <c r="F15" s="83">
        <v>0</v>
      </c>
      <c r="G15" s="82">
        <f>E15*F15</f>
        <v>0</v>
      </c>
      <c r="H15" s="82">
        <f>G15+E15</f>
        <v>510796.48800000001</v>
      </c>
      <c r="I15" s="84">
        <v>12</v>
      </c>
      <c r="J15" s="85">
        <v>243190.14720000001</v>
      </c>
      <c r="K15" s="82">
        <f>I15*H15</f>
        <v>6129557.8560000006</v>
      </c>
      <c r="L15" s="86"/>
    </row>
    <row r="16" spans="1:12" x14ac:dyDescent="0.2">
      <c r="A16" s="87" t="s">
        <v>13</v>
      </c>
      <c r="B16" s="88">
        <v>2</v>
      </c>
      <c r="C16" s="89">
        <f>H15</f>
        <v>510796.48800000001</v>
      </c>
      <c r="D16" s="89">
        <v>0</v>
      </c>
      <c r="E16" s="89">
        <f>C16+D16</f>
        <v>510796.48800000001</v>
      </c>
      <c r="F16" s="90">
        <v>0.08</v>
      </c>
      <c r="G16" s="89">
        <f>E16*F16</f>
        <v>40863.719040000004</v>
      </c>
      <c r="H16" s="89">
        <f>G16+E16</f>
        <v>551660.20704000001</v>
      </c>
      <c r="I16" s="109">
        <v>12</v>
      </c>
      <c r="J16" s="101">
        <v>262645.35897599999</v>
      </c>
      <c r="K16" s="89">
        <f>I16*H16</f>
        <v>6619922.4844800001</v>
      </c>
      <c r="L16" s="92"/>
    </row>
    <row r="17" spans="1:12" x14ac:dyDescent="0.2">
      <c r="A17" s="93">
        <f>6728000/40*B16</f>
        <v>336400</v>
      </c>
      <c r="B17" s="94"/>
      <c r="C17" s="89">
        <f>H16</f>
        <v>551660.20704000001</v>
      </c>
      <c r="D17" s="89">
        <v>0</v>
      </c>
      <c r="E17" s="89">
        <f>C17+D17</f>
        <v>551660.20704000001</v>
      </c>
      <c r="F17" s="90">
        <v>0.08</v>
      </c>
      <c r="G17" s="89">
        <f>E17*F17</f>
        <v>44132.816563200002</v>
      </c>
      <c r="H17" s="89">
        <f>G17+E17</f>
        <v>595793.02360319998</v>
      </c>
      <c r="I17" s="109">
        <v>6</v>
      </c>
      <c r="J17" s="101">
        <v>283656.98769407999</v>
      </c>
      <c r="K17" s="89">
        <f>I17*H17</f>
        <v>3574758.1416191999</v>
      </c>
      <c r="L17" s="95"/>
    </row>
    <row r="18" spans="1:12" x14ac:dyDescent="0.2">
      <c r="A18" s="304" t="s">
        <v>159</v>
      </c>
      <c r="B18" s="97"/>
      <c r="C18" s="89">
        <f>H17</f>
        <v>595793.02360319998</v>
      </c>
      <c r="D18" s="89">
        <v>0</v>
      </c>
      <c r="E18" s="89">
        <f>C18+D18</f>
        <v>595793.02360319998</v>
      </c>
      <c r="F18" s="90">
        <v>0.08</v>
      </c>
      <c r="G18" s="89">
        <f>E18*F18</f>
        <v>47663.441888255998</v>
      </c>
      <c r="H18" s="89">
        <f>G18+E18</f>
        <v>643456.46549145598</v>
      </c>
      <c r="I18" s="110">
        <v>0</v>
      </c>
      <c r="J18" s="101">
        <v>306349.54670960637</v>
      </c>
      <c r="K18" s="89">
        <f>I18*H18</f>
        <v>0</v>
      </c>
      <c r="L18" s="92"/>
    </row>
    <row r="19" spans="1:12" x14ac:dyDescent="0.2">
      <c r="A19" s="111"/>
      <c r="B19" s="99"/>
      <c r="C19" s="89">
        <f>H18</f>
        <v>643456.46549145598</v>
      </c>
      <c r="D19" s="89">
        <v>0</v>
      </c>
      <c r="E19" s="89">
        <f>C19+D19</f>
        <v>643456.46549145598</v>
      </c>
      <c r="F19" s="90">
        <v>0.08</v>
      </c>
      <c r="G19" s="89">
        <f>E19*F19</f>
        <v>51476.517239316483</v>
      </c>
      <c r="H19" s="89">
        <f>G19+E19</f>
        <v>694932.98273077246</v>
      </c>
      <c r="I19" s="110">
        <v>0</v>
      </c>
      <c r="J19" s="101">
        <v>330857.51044637489</v>
      </c>
      <c r="K19" s="89">
        <f>I19*H19</f>
        <v>0</v>
      </c>
      <c r="L19" s="92"/>
    </row>
    <row r="20" spans="1:12" ht="13.5" thickBot="1" x14ac:dyDescent="0.25">
      <c r="A20" s="102"/>
      <c r="B20" s="103"/>
      <c r="C20" s="104"/>
      <c r="D20" s="104"/>
      <c r="E20" s="104"/>
      <c r="F20" s="105"/>
      <c r="G20" s="104"/>
      <c r="H20" s="104"/>
      <c r="I20" s="106">
        <f>SUBTOTAL(109,I15:I19)</f>
        <v>30</v>
      </c>
      <c r="J20" s="107"/>
      <c r="K20" s="104"/>
      <c r="L20" s="108">
        <f>SUM(K15:K19)</f>
        <v>16324238.4820992</v>
      </c>
    </row>
    <row r="21" spans="1:12" x14ac:dyDescent="0.2">
      <c r="A21" s="80" t="s">
        <v>16</v>
      </c>
      <c r="B21" s="81"/>
      <c r="C21" s="82">
        <f>A23</f>
        <v>336400</v>
      </c>
      <c r="D21" s="82">
        <f>C21*51.842%</f>
        <v>174396.48799999998</v>
      </c>
      <c r="E21" s="82">
        <f>C21+D21</f>
        <v>510796.48800000001</v>
      </c>
      <c r="F21" s="83">
        <v>0</v>
      </c>
      <c r="G21" s="82">
        <f>E21*F21</f>
        <v>0</v>
      </c>
      <c r="H21" s="82">
        <f>G21+E21</f>
        <v>510796.48800000001</v>
      </c>
      <c r="I21" s="84">
        <v>12</v>
      </c>
      <c r="J21" s="85">
        <v>243190.14720000001</v>
      </c>
      <c r="K21" s="82">
        <f>I21*H21</f>
        <v>6129557.8560000006</v>
      </c>
      <c r="L21" s="86"/>
    </row>
    <row r="22" spans="1:12" x14ac:dyDescent="0.2">
      <c r="A22" s="87" t="s">
        <v>13</v>
      </c>
      <c r="B22" s="88">
        <v>2</v>
      </c>
      <c r="C22" s="89">
        <f>H21</f>
        <v>510796.48800000001</v>
      </c>
      <c r="D22" s="89">
        <v>0</v>
      </c>
      <c r="E22" s="89">
        <f>C22+D22</f>
        <v>510796.48800000001</v>
      </c>
      <c r="F22" s="90">
        <v>0.08</v>
      </c>
      <c r="G22" s="89">
        <f>E22*F22</f>
        <v>40863.719040000004</v>
      </c>
      <c r="H22" s="89">
        <f>G22+E22</f>
        <v>551660.20704000001</v>
      </c>
      <c r="I22" s="109">
        <v>12</v>
      </c>
      <c r="J22" s="101">
        <v>262645.35897599999</v>
      </c>
      <c r="K22" s="89">
        <f>I22*H22</f>
        <v>6619922.4844800001</v>
      </c>
      <c r="L22" s="92"/>
    </row>
    <row r="23" spans="1:12" x14ac:dyDescent="0.2">
      <c r="A23" s="93">
        <f>6728000/40*B22</f>
        <v>336400</v>
      </c>
      <c r="B23" s="94"/>
      <c r="C23" s="89">
        <f>H22</f>
        <v>551660.20704000001</v>
      </c>
      <c r="D23" s="89">
        <v>0</v>
      </c>
      <c r="E23" s="89">
        <f>C23+D23</f>
        <v>551660.20704000001</v>
      </c>
      <c r="F23" s="90">
        <v>0.08</v>
      </c>
      <c r="G23" s="89">
        <f>E23*F23</f>
        <v>44132.816563200002</v>
      </c>
      <c r="H23" s="89">
        <f>G23+E23</f>
        <v>595793.02360319998</v>
      </c>
      <c r="I23" s="109">
        <v>6</v>
      </c>
      <c r="J23" s="101">
        <v>283656.98769407999</v>
      </c>
      <c r="K23" s="89">
        <f>I23*H23</f>
        <v>3574758.1416191999</v>
      </c>
      <c r="L23" s="95"/>
    </row>
    <row r="24" spans="1:12" x14ac:dyDescent="0.2">
      <c r="A24" s="304" t="s">
        <v>156</v>
      </c>
      <c r="B24" s="97"/>
      <c r="C24" s="89">
        <f>H23</f>
        <v>595793.02360319998</v>
      </c>
      <c r="D24" s="89">
        <v>0</v>
      </c>
      <c r="E24" s="89">
        <f>C24+D24</f>
        <v>595793.02360319998</v>
      </c>
      <c r="F24" s="90">
        <v>0.08</v>
      </c>
      <c r="G24" s="89">
        <f>E24*F24</f>
        <v>47663.441888255998</v>
      </c>
      <c r="H24" s="89">
        <f>G24+E24</f>
        <v>643456.46549145598</v>
      </c>
      <c r="I24" s="110">
        <v>0</v>
      </c>
      <c r="J24" s="101">
        <v>306349.54670960637</v>
      </c>
      <c r="K24" s="89">
        <f>I24*H24</f>
        <v>0</v>
      </c>
      <c r="L24" s="92"/>
    </row>
    <row r="25" spans="1:12" x14ac:dyDescent="0.2">
      <c r="A25" s="111"/>
      <c r="B25" s="99"/>
      <c r="C25" s="89">
        <f>H24</f>
        <v>643456.46549145598</v>
      </c>
      <c r="D25" s="89">
        <v>0</v>
      </c>
      <c r="E25" s="89">
        <f>C25+D25</f>
        <v>643456.46549145598</v>
      </c>
      <c r="F25" s="90">
        <v>0.08</v>
      </c>
      <c r="G25" s="89">
        <f>E25*F25</f>
        <v>51476.517239316483</v>
      </c>
      <c r="H25" s="89">
        <f>G25+E25</f>
        <v>694932.98273077246</v>
      </c>
      <c r="I25" s="110">
        <v>0</v>
      </c>
      <c r="J25" s="101">
        <v>330857.51044637489</v>
      </c>
      <c r="K25" s="89">
        <f>I25*H25</f>
        <v>0</v>
      </c>
      <c r="L25" s="92"/>
    </row>
    <row r="26" spans="1:12" ht="13.5" thickBot="1" x14ac:dyDescent="0.25">
      <c r="A26" s="102"/>
      <c r="B26" s="103"/>
      <c r="C26" s="104"/>
      <c r="D26" s="104"/>
      <c r="E26" s="104"/>
      <c r="F26" s="105"/>
      <c r="G26" s="104"/>
      <c r="H26" s="104"/>
      <c r="I26" s="106">
        <f>SUBTOTAL(109,I21:I25)</f>
        <v>30</v>
      </c>
      <c r="J26" s="107"/>
      <c r="K26" s="104"/>
      <c r="L26" s="108">
        <f>SUM(K21:K25)</f>
        <v>16324238.4820992</v>
      </c>
    </row>
    <row r="27" spans="1:12" x14ac:dyDescent="0.2">
      <c r="A27" s="80" t="s">
        <v>17</v>
      </c>
      <c r="B27" s="81"/>
      <c r="C27" s="82">
        <f>A29</f>
        <v>2066000</v>
      </c>
      <c r="D27" s="82">
        <f>C27*51.842%</f>
        <v>1071055.72</v>
      </c>
      <c r="E27" s="82">
        <f>C27+D27</f>
        <v>3137055.7199999997</v>
      </c>
      <c r="F27" s="83">
        <v>0</v>
      </c>
      <c r="G27" s="82">
        <f>E27*F27</f>
        <v>0</v>
      </c>
      <c r="H27" s="82">
        <f>G27+E27</f>
        <v>3137055.7199999997</v>
      </c>
      <c r="I27" s="84">
        <v>12</v>
      </c>
      <c r="J27" s="85">
        <v>298809.87179999996</v>
      </c>
      <c r="K27" s="82">
        <f>I27*H27</f>
        <v>37644668.640000001</v>
      </c>
      <c r="L27" s="86"/>
    </row>
    <row r="28" spans="1:12" x14ac:dyDescent="0.2">
      <c r="A28" s="87" t="s">
        <v>13</v>
      </c>
      <c r="B28" s="88">
        <v>10</v>
      </c>
      <c r="C28" s="89">
        <f>H27</f>
        <v>3137055.7199999997</v>
      </c>
      <c r="D28" s="89">
        <v>0</v>
      </c>
      <c r="E28" s="89">
        <f>C28+D28</f>
        <v>3137055.7199999997</v>
      </c>
      <c r="F28" s="90">
        <v>0.08</v>
      </c>
      <c r="G28" s="89">
        <f>E28*F28</f>
        <v>250964.45759999999</v>
      </c>
      <c r="H28" s="89">
        <f>G28+E28</f>
        <v>3388020.1775999996</v>
      </c>
      <c r="I28" s="109">
        <v>12</v>
      </c>
      <c r="J28" s="101">
        <v>322714.66154399997</v>
      </c>
      <c r="K28" s="89">
        <f>I28*H28</f>
        <v>40656242.131199993</v>
      </c>
      <c r="L28" s="92"/>
    </row>
    <row r="29" spans="1:12" x14ac:dyDescent="0.2">
      <c r="A29" s="93">
        <f>8264000/40*B28</f>
        <v>2066000</v>
      </c>
      <c r="B29" s="94"/>
      <c r="C29" s="89">
        <f>H28</f>
        <v>3388020.1775999996</v>
      </c>
      <c r="D29" s="89">
        <v>0</v>
      </c>
      <c r="E29" s="89">
        <f>C29+D29</f>
        <v>3388020.1775999996</v>
      </c>
      <c r="F29" s="90">
        <v>0.08</v>
      </c>
      <c r="G29" s="89">
        <f>E29*F29</f>
        <v>271041.61420799996</v>
      </c>
      <c r="H29" s="89">
        <f>G29+E29</f>
        <v>3659061.7918079994</v>
      </c>
      <c r="I29" s="109">
        <v>6</v>
      </c>
      <c r="J29" s="101">
        <v>348531.83446752001</v>
      </c>
      <c r="K29" s="89">
        <f>I29*H29</f>
        <v>21954370.750847995</v>
      </c>
      <c r="L29" s="95"/>
    </row>
    <row r="30" spans="1:12" x14ac:dyDescent="0.2">
      <c r="A30" s="96" t="s">
        <v>157</v>
      </c>
      <c r="B30" s="97"/>
      <c r="C30" s="89">
        <f>H29</f>
        <v>3659061.7918079994</v>
      </c>
      <c r="D30" s="89">
        <v>0</v>
      </c>
      <c r="E30" s="89">
        <f>C30+D30</f>
        <v>3659061.7918079994</v>
      </c>
      <c r="F30" s="90">
        <v>0.08</v>
      </c>
      <c r="G30" s="89">
        <f>E30*F30</f>
        <v>292724.94334463996</v>
      </c>
      <c r="H30" s="89">
        <f>G30+E30</f>
        <v>3951786.7351526394</v>
      </c>
      <c r="I30" s="110">
        <v>0</v>
      </c>
      <c r="J30" s="101">
        <v>376414.38122492161</v>
      </c>
      <c r="K30" s="89">
        <f>I30*H30</f>
        <v>0</v>
      </c>
      <c r="L30" s="92"/>
    </row>
    <row r="31" spans="1:12" x14ac:dyDescent="0.2">
      <c r="A31" s="112"/>
      <c r="B31" s="99"/>
      <c r="C31" s="89">
        <f>H30</f>
        <v>3951786.7351526394</v>
      </c>
      <c r="D31" s="89">
        <v>0</v>
      </c>
      <c r="E31" s="89">
        <f>C31+D31</f>
        <v>3951786.7351526394</v>
      </c>
      <c r="F31" s="90">
        <v>0.08</v>
      </c>
      <c r="G31" s="89">
        <f>E31*F31</f>
        <v>316142.93881221116</v>
      </c>
      <c r="H31" s="89">
        <f>G31+E31</f>
        <v>4267929.6739648506</v>
      </c>
      <c r="I31" s="110">
        <v>0</v>
      </c>
      <c r="J31" s="101">
        <v>406527.53172291536</v>
      </c>
      <c r="K31" s="89">
        <f>I31*H31</f>
        <v>0</v>
      </c>
      <c r="L31" s="92"/>
    </row>
    <row r="32" spans="1:12" ht="13.5" thickBot="1" x14ac:dyDescent="0.25">
      <c r="A32" s="102"/>
      <c r="B32" s="103"/>
      <c r="C32" s="104"/>
      <c r="D32" s="104"/>
      <c r="E32" s="104"/>
      <c r="F32" s="105"/>
      <c r="G32" s="104"/>
      <c r="H32" s="104"/>
      <c r="I32" s="106">
        <f>SUBTOTAL(109,I27:I31)</f>
        <v>30</v>
      </c>
      <c r="J32" s="107"/>
      <c r="K32" s="104"/>
      <c r="L32" s="108">
        <f>SUM(K27:K31)</f>
        <v>100255281.522048</v>
      </c>
    </row>
    <row r="33" spans="1:12" x14ac:dyDescent="0.2">
      <c r="A33" s="80" t="s">
        <v>17</v>
      </c>
      <c r="B33" s="81"/>
      <c r="C33" s="82">
        <f>A35</f>
        <v>1239600</v>
      </c>
      <c r="D33" s="82">
        <f>C33*51.842%</f>
        <v>642633.43200000003</v>
      </c>
      <c r="E33" s="82">
        <f>C33+D33</f>
        <v>1882233.432</v>
      </c>
      <c r="F33" s="83">
        <v>0</v>
      </c>
      <c r="G33" s="82">
        <f>E33*F33</f>
        <v>0</v>
      </c>
      <c r="H33" s="82">
        <f>G33+E33</f>
        <v>1882233.432</v>
      </c>
      <c r="I33" s="84">
        <v>12</v>
      </c>
      <c r="J33" s="85">
        <v>298809.87179999996</v>
      </c>
      <c r="K33" s="82">
        <f>I33*H33</f>
        <v>22586801.184</v>
      </c>
      <c r="L33" s="86"/>
    </row>
    <row r="34" spans="1:12" x14ac:dyDescent="0.2">
      <c r="A34" s="87" t="s">
        <v>13</v>
      </c>
      <c r="B34" s="88">
        <v>6</v>
      </c>
      <c r="C34" s="89">
        <f>H33</f>
        <v>1882233.432</v>
      </c>
      <c r="D34" s="89">
        <v>0</v>
      </c>
      <c r="E34" s="89">
        <f>C34+D34</f>
        <v>1882233.432</v>
      </c>
      <c r="F34" s="90">
        <v>0.08</v>
      </c>
      <c r="G34" s="89">
        <f>E34*F34</f>
        <v>150578.67456000001</v>
      </c>
      <c r="H34" s="89">
        <f>G34+E34</f>
        <v>2032812.10656</v>
      </c>
      <c r="I34" s="109">
        <v>12</v>
      </c>
      <c r="J34" s="101">
        <v>322714.66154399997</v>
      </c>
      <c r="K34" s="89">
        <f>I34*H34</f>
        <v>24393745.278719999</v>
      </c>
      <c r="L34" s="92"/>
    </row>
    <row r="35" spans="1:12" x14ac:dyDescent="0.2">
      <c r="A35" s="93">
        <f>8264000/40*B34</f>
        <v>1239600</v>
      </c>
      <c r="B35" s="94"/>
      <c r="C35" s="89">
        <f>H34</f>
        <v>2032812.10656</v>
      </c>
      <c r="D35" s="89">
        <v>0</v>
      </c>
      <c r="E35" s="89">
        <f>C35+D35</f>
        <v>2032812.10656</v>
      </c>
      <c r="F35" s="90">
        <v>0.08</v>
      </c>
      <c r="G35" s="89">
        <f>E35*F35</f>
        <v>162624.9685248</v>
      </c>
      <c r="H35" s="89">
        <f>G35+E35</f>
        <v>2195437.0750847999</v>
      </c>
      <c r="I35" s="109">
        <v>6</v>
      </c>
      <c r="J35" s="101">
        <v>348531.83446752001</v>
      </c>
      <c r="K35" s="89">
        <f>I35*H35</f>
        <v>13172622.450508799</v>
      </c>
      <c r="L35" s="95"/>
    </row>
    <row r="36" spans="1:12" x14ac:dyDescent="0.2">
      <c r="A36" s="96" t="s">
        <v>158</v>
      </c>
      <c r="B36" s="97"/>
      <c r="C36" s="89">
        <f>H35</f>
        <v>2195437.0750847999</v>
      </c>
      <c r="D36" s="89">
        <v>0</v>
      </c>
      <c r="E36" s="89">
        <f>C36+D36</f>
        <v>2195437.0750847999</v>
      </c>
      <c r="F36" s="90">
        <v>0.08</v>
      </c>
      <c r="G36" s="89">
        <f>E36*F36</f>
        <v>175634.966006784</v>
      </c>
      <c r="H36" s="89">
        <f>G36+E36</f>
        <v>2371072.0410915837</v>
      </c>
      <c r="I36" s="110">
        <v>0</v>
      </c>
      <c r="J36" s="101">
        <v>376414.38122492161</v>
      </c>
      <c r="K36" s="89">
        <f>I36*H36</f>
        <v>0</v>
      </c>
      <c r="L36" s="92"/>
    </row>
    <row r="37" spans="1:12" x14ac:dyDescent="0.2">
      <c r="A37" s="112"/>
      <c r="B37" s="99"/>
      <c r="C37" s="89">
        <f>H36</f>
        <v>2371072.0410915837</v>
      </c>
      <c r="D37" s="89">
        <v>0</v>
      </c>
      <c r="E37" s="89">
        <f>C37+D37</f>
        <v>2371072.0410915837</v>
      </c>
      <c r="F37" s="90">
        <v>0.08</v>
      </c>
      <c r="G37" s="89">
        <f>E37*F37</f>
        <v>189685.7632873267</v>
      </c>
      <c r="H37" s="89">
        <f>G37+E37</f>
        <v>2560757.8043789105</v>
      </c>
      <c r="I37" s="110">
        <v>0</v>
      </c>
      <c r="J37" s="101">
        <v>406527.53172291536</v>
      </c>
      <c r="K37" s="89">
        <f>I37*H37</f>
        <v>0</v>
      </c>
      <c r="L37" s="92"/>
    </row>
    <row r="38" spans="1:12" ht="13.5" thickBot="1" x14ac:dyDescent="0.25">
      <c r="A38" s="102"/>
      <c r="B38" s="103"/>
      <c r="C38" s="104"/>
      <c r="D38" s="104"/>
      <c r="E38" s="104"/>
      <c r="F38" s="105"/>
      <c r="G38" s="104"/>
      <c r="H38" s="104"/>
      <c r="I38" s="106">
        <f>SUBTOTAL(109,I33:I37)</f>
        <v>30</v>
      </c>
      <c r="J38" s="107"/>
      <c r="K38" s="104"/>
      <c r="L38" s="108">
        <f>SUM(K33:K37)</f>
        <v>60153168.913228795</v>
      </c>
    </row>
    <row r="39" spans="1:12" x14ac:dyDescent="0.2">
      <c r="A39" s="80" t="s">
        <v>18</v>
      </c>
      <c r="B39" s="81"/>
      <c r="C39" s="82">
        <f>A41</f>
        <v>605200</v>
      </c>
      <c r="D39" s="82">
        <f>C39*51.842%</f>
        <v>313747.78399999999</v>
      </c>
      <c r="E39" s="82">
        <f>C39+D39</f>
        <v>918947.78399999999</v>
      </c>
      <c r="F39" s="83">
        <v>0</v>
      </c>
      <c r="G39" s="82">
        <f>E39*F39</f>
        <v>0</v>
      </c>
      <c r="H39" s="82">
        <f>G39+E39</f>
        <v>918947.78399999999</v>
      </c>
      <c r="I39" s="84">
        <v>12</v>
      </c>
      <c r="J39" s="85">
        <v>283952.14848000003</v>
      </c>
      <c r="K39" s="82">
        <f>I39*H39</f>
        <v>11027373.408</v>
      </c>
      <c r="L39" s="86"/>
    </row>
    <row r="40" spans="1:12" x14ac:dyDescent="0.2">
      <c r="A40" s="87" t="s">
        <v>13</v>
      </c>
      <c r="B40" s="88">
        <v>2</v>
      </c>
      <c r="C40" s="89">
        <f>H39</f>
        <v>918947.78399999999</v>
      </c>
      <c r="D40" s="89">
        <v>0</v>
      </c>
      <c r="E40" s="89">
        <f>C40+D40</f>
        <v>918947.78399999999</v>
      </c>
      <c r="F40" s="90">
        <v>0.08</v>
      </c>
      <c r="G40" s="89">
        <f>E40*F40</f>
        <v>73515.822719999996</v>
      </c>
      <c r="H40" s="89">
        <f>G40+E40</f>
        <v>992463.60672000004</v>
      </c>
      <c r="I40" s="109">
        <v>12</v>
      </c>
      <c r="J40" s="101">
        <v>283952.14848000003</v>
      </c>
      <c r="K40" s="89">
        <f>I40*H40</f>
        <v>11909563.28064</v>
      </c>
      <c r="L40" s="92"/>
    </row>
    <row r="41" spans="1:12" x14ac:dyDescent="0.2">
      <c r="A41" s="93">
        <f>12104000/40*B40</f>
        <v>605200</v>
      </c>
      <c r="B41" s="94"/>
      <c r="C41" s="89">
        <f>H40</f>
        <v>992463.60672000004</v>
      </c>
      <c r="D41" s="89">
        <v>0</v>
      </c>
      <c r="E41" s="89">
        <f>C41+D41</f>
        <v>992463.60672000004</v>
      </c>
      <c r="F41" s="90">
        <v>0.08</v>
      </c>
      <c r="G41" s="89">
        <f>E41*F41</f>
        <v>79397.088537600008</v>
      </c>
      <c r="H41" s="89">
        <f>G41+E41</f>
        <v>1071860.6952575999</v>
      </c>
      <c r="I41" s="109">
        <v>6</v>
      </c>
      <c r="J41" s="101">
        <v>283952.14848000003</v>
      </c>
      <c r="K41" s="89">
        <f>I41*H41</f>
        <v>6431164.1715455996</v>
      </c>
      <c r="L41" s="95"/>
    </row>
    <row r="42" spans="1:12" x14ac:dyDescent="0.2">
      <c r="A42" s="96" t="s">
        <v>161</v>
      </c>
      <c r="B42" s="97"/>
      <c r="C42" s="89">
        <f>H41</f>
        <v>1071860.6952575999</v>
      </c>
      <c r="D42" s="89">
        <v>0</v>
      </c>
      <c r="E42" s="89">
        <f>C42+D42</f>
        <v>1071860.6952575999</v>
      </c>
      <c r="F42" s="90">
        <v>0.08</v>
      </c>
      <c r="G42" s="89">
        <f>E42*F42</f>
        <v>85748.855620607996</v>
      </c>
      <c r="H42" s="89">
        <f>G42+E42</f>
        <v>1157609.5508782079</v>
      </c>
      <c r="I42" s="110">
        <v>0</v>
      </c>
      <c r="J42" s="101">
        <v>283952.14848000003</v>
      </c>
      <c r="K42" s="89">
        <f>I42*H42</f>
        <v>0</v>
      </c>
      <c r="L42" s="92"/>
    </row>
    <row r="43" spans="1:12" x14ac:dyDescent="0.2">
      <c r="A43" s="98"/>
      <c r="B43" s="99"/>
      <c r="C43" s="89">
        <f>H42</f>
        <v>1157609.5508782079</v>
      </c>
      <c r="D43" s="89">
        <v>0</v>
      </c>
      <c r="E43" s="89">
        <f>C43+D43</f>
        <v>1157609.5508782079</v>
      </c>
      <c r="F43" s="90">
        <v>0.08</v>
      </c>
      <c r="G43" s="89">
        <f>E43*F43</f>
        <v>92608.764070256628</v>
      </c>
      <c r="H43" s="89">
        <f>G43+E43</f>
        <v>1250218.3149484645</v>
      </c>
      <c r="I43" s="110">
        <v>0</v>
      </c>
      <c r="J43" s="101">
        <v>283952.14848000003</v>
      </c>
      <c r="K43" s="89">
        <f>I43*H43</f>
        <v>0</v>
      </c>
      <c r="L43" s="92"/>
    </row>
    <row r="44" spans="1:12" ht="13.5" thickBot="1" x14ac:dyDescent="0.25">
      <c r="A44" s="102"/>
      <c r="B44" s="103"/>
      <c r="C44" s="104"/>
      <c r="D44" s="104"/>
      <c r="E44" s="104"/>
      <c r="F44" s="105"/>
      <c r="G44" s="104"/>
      <c r="H44" s="104"/>
      <c r="I44" s="106">
        <f>SUBTOTAL(109,I39:I43)</f>
        <v>30</v>
      </c>
      <c r="J44" s="107"/>
      <c r="K44" s="89"/>
      <c r="L44" s="113">
        <f>SUM(K39:K43)</f>
        <v>29368100.860185597</v>
      </c>
    </row>
    <row r="45" spans="1:12" x14ac:dyDescent="0.2">
      <c r="A45" s="80" t="s">
        <v>18</v>
      </c>
      <c r="B45" s="81"/>
      <c r="C45" s="82">
        <f>A47</f>
        <v>1815600</v>
      </c>
      <c r="D45" s="82">
        <f>C45*51.842%</f>
        <v>941243.35199999996</v>
      </c>
      <c r="E45" s="82">
        <f>C45+D45</f>
        <v>2756843.352</v>
      </c>
      <c r="F45" s="83">
        <v>0</v>
      </c>
      <c r="G45" s="82">
        <f>E45*F45</f>
        <v>0</v>
      </c>
      <c r="H45" s="82">
        <f>G45+E45</f>
        <v>2756843.352</v>
      </c>
      <c r="I45" s="84">
        <v>12</v>
      </c>
      <c r="J45" s="85">
        <v>283952.14848000003</v>
      </c>
      <c r="K45" s="82">
        <f>I45*H45</f>
        <v>33082120.223999999</v>
      </c>
      <c r="L45" s="86"/>
    </row>
    <row r="46" spans="1:12" x14ac:dyDescent="0.2">
      <c r="A46" s="87" t="s">
        <v>13</v>
      </c>
      <c r="B46" s="88">
        <v>6</v>
      </c>
      <c r="C46" s="89">
        <f>H45</f>
        <v>2756843.352</v>
      </c>
      <c r="D46" s="89">
        <v>0</v>
      </c>
      <c r="E46" s="89">
        <f>C46+D46</f>
        <v>2756843.352</v>
      </c>
      <c r="F46" s="90">
        <v>0.08</v>
      </c>
      <c r="G46" s="89">
        <f>E46*F46</f>
        <v>220547.46815999999</v>
      </c>
      <c r="H46" s="89">
        <f>G46+E46</f>
        <v>2977390.8201600001</v>
      </c>
      <c r="I46" s="109">
        <v>12</v>
      </c>
      <c r="J46" s="101">
        <v>283952.14848000003</v>
      </c>
      <c r="K46" s="89">
        <f>I46*H46</f>
        <v>35728689.841920003</v>
      </c>
      <c r="L46" s="92"/>
    </row>
    <row r="47" spans="1:12" x14ac:dyDescent="0.2">
      <c r="A47" s="93">
        <f>12104000/40*B46</f>
        <v>1815600</v>
      </c>
      <c r="B47" s="94"/>
      <c r="C47" s="89">
        <f>H46</f>
        <v>2977390.8201600001</v>
      </c>
      <c r="D47" s="89">
        <v>0</v>
      </c>
      <c r="E47" s="89">
        <f>C47+D47</f>
        <v>2977390.8201600001</v>
      </c>
      <c r="F47" s="90">
        <v>0.08</v>
      </c>
      <c r="G47" s="89">
        <f>E47*F47</f>
        <v>238191.26561280002</v>
      </c>
      <c r="H47" s="89">
        <f>G47+E47</f>
        <v>3215582.0857728003</v>
      </c>
      <c r="I47" s="109">
        <v>6</v>
      </c>
      <c r="J47" s="101">
        <v>283952.14848000003</v>
      </c>
      <c r="K47" s="89">
        <f>I47*H47</f>
        <v>19293492.5146368</v>
      </c>
      <c r="L47" s="95"/>
    </row>
    <row r="48" spans="1:12" x14ac:dyDescent="0.2">
      <c r="A48" s="96" t="s">
        <v>162</v>
      </c>
      <c r="B48" s="97"/>
      <c r="C48" s="89">
        <f>H47</f>
        <v>3215582.0857728003</v>
      </c>
      <c r="D48" s="89">
        <v>0</v>
      </c>
      <c r="E48" s="89">
        <f>C48+D48</f>
        <v>3215582.0857728003</v>
      </c>
      <c r="F48" s="90">
        <v>0.08</v>
      </c>
      <c r="G48" s="89">
        <f>E48*F48</f>
        <v>257246.56686182402</v>
      </c>
      <c r="H48" s="89">
        <f>G48+E48</f>
        <v>3472828.6526346244</v>
      </c>
      <c r="I48" s="110">
        <v>0</v>
      </c>
      <c r="J48" s="101">
        <v>283952.14848000003</v>
      </c>
      <c r="K48" s="89">
        <f>I48*H48</f>
        <v>0</v>
      </c>
      <c r="L48" s="92"/>
    </row>
    <row r="49" spans="1:12" x14ac:dyDescent="0.2">
      <c r="A49" s="98"/>
      <c r="B49" s="99"/>
      <c r="C49" s="89">
        <f>H48</f>
        <v>3472828.6526346244</v>
      </c>
      <c r="D49" s="89">
        <v>0</v>
      </c>
      <c r="E49" s="89">
        <f>C49+D49</f>
        <v>3472828.6526346244</v>
      </c>
      <c r="F49" s="90">
        <v>0.08</v>
      </c>
      <c r="G49" s="89">
        <f>E49*F49</f>
        <v>277826.29221076996</v>
      </c>
      <c r="H49" s="89">
        <f>G49+E49</f>
        <v>3750654.9448453942</v>
      </c>
      <c r="I49" s="110">
        <v>0</v>
      </c>
      <c r="J49" s="101">
        <v>283952.14848000003</v>
      </c>
      <c r="K49" s="89">
        <f>I49*H49</f>
        <v>0</v>
      </c>
      <c r="L49" s="92"/>
    </row>
    <row r="50" spans="1:12" ht="13.5" thickBot="1" x14ac:dyDescent="0.25">
      <c r="A50" s="102"/>
      <c r="B50" s="103"/>
      <c r="C50" s="104"/>
      <c r="D50" s="104"/>
      <c r="E50" s="104"/>
      <c r="F50" s="105"/>
      <c r="G50" s="104"/>
      <c r="H50" s="104"/>
      <c r="I50" s="106">
        <f>SUBTOTAL(109,I45:I49)</f>
        <v>30</v>
      </c>
      <c r="J50" s="107"/>
      <c r="K50" s="89"/>
      <c r="L50" s="113">
        <f>SUM(K45:K49)</f>
        <v>88104302.580556795</v>
      </c>
    </row>
    <row r="51" spans="1:12" x14ac:dyDescent="0.2">
      <c r="A51" s="80" t="s">
        <v>18</v>
      </c>
      <c r="B51" s="81"/>
      <c r="C51" s="82">
        <f>A53</f>
        <v>605200</v>
      </c>
      <c r="D51" s="82">
        <f>C51*51.842%</f>
        <v>313747.78399999999</v>
      </c>
      <c r="E51" s="82">
        <f>C51+D51</f>
        <v>918947.78399999999</v>
      </c>
      <c r="F51" s="83">
        <v>0</v>
      </c>
      <c r="G51" s="82">
        <f>E51*F51</f>
        <v>0</v>
      </c>
      <c r="H51" s="82">
        <f>G51+E51</f>
        <v>918947.78399999999</v>
      </c>
      <c r="I51" s="84">
        <v>12</v>
      </c>
      <c r="J51" s="85">
        <v>283952.14848000003</v>
      </c>
      <c r="K51" s="82">
        <f>I51*H51</f>
        <v>11027373.408</v>
      </c>
      <c r="L51" s="86"/>
    </row>
    <row r="52" spans="1:12" x14ac:dyDescent="0.2">
      <c r="A52" s="87" t="s">
        <v>13</v>
      </c>
      <c r="B52" s="88">
        <v>2</v>
      </c>
      <c r="C52" s="89">
        <f>H51</f>
        <v>918947.78399999999</v>
      </c>
      <c r="D52" s="89">
        <v>0</v>
      </c>
      <c r="E52" s="89">
        <f>C52+D52</f>
        <v>918947.78399999999</v>
      </c>
      <c r="F52" s="90">
        <v>0.08</v>
      </c>
      <c r="G52" s="89">
        <f>E52*F52</f>
        <v>73515.822719999996</v>
      </c>
      <c r="H52" s="89">
        <f>G52+E52</f>
        <v>992463.60672000004</v>
      </c>
      <c r="I52" s="109">
        <v>12</v>
      </c>
      <c r="J52" s="101">
        <v>283952.14848000003</v>
      </c>
      <c r="K52" s="89">
        <f>I52*H52</f>
        <v>11909563.28064</v>
      </c>
      <c r="L52" s="92"/>
    </row>
    <row r="53" spans="1:12" x14ac:dyDescent="0.2">
      <c r="A53" s="93">
        <f>12104000/40*B52</f>
        <v>605200</v>
      </c>
      <c r="B53" s="94"/>
      <c r="C53" s="89">
        <f>H52</f>
        <v>992463.60672000004</v>
      </c>
      <c r="D53" s="89">
        <v>0</v>
      </c>
      <c r="E53" s="89">
        <f>C53+D53</f>
        <v>992463.60672000004</v>
      </c>
      <c r="F53" s="90">
        <v>0.08</v>
      </c>
      <c r="G53" s="89">
        <f>E53*F53</f>
        <v>79397.088537600008</v>
      </c>
      <c r="H53" s="89">
        <f>G53+E53</f>
        <v>1071860.6952575999</v>
      </c>
      <c r="I53" s="109">
        <v>6</v>
      </c>
      <c r="J53" s="101">
        <v>283952.14848000003</v>
      </c>
      <c r="K53" s="89">
        <f>I53*H53</f>
        <v>6431164.1715455996</v>
      </c>
      <c r="L53" s="95"/>
    </row>
    <row r="54" spans="1:12" x14ac:dyDescent="0.2">
      <c r="A54" s="96" t="s">
        <v>163</v>
      </c>
      <c r="B54" s="97"/>
      <c r="C54" s="89">
        <f>H53</f>
        <v>1071860.6952575999</v>
      </c>
      <c r="D54" s="89">
        <v>0</v>
      </c>
      <c r="E54" s="89">
        <f>C54+D54</f>
        <v>1071860.6952575999</v>
      </c>
      <c r="F54" s="90">
        <v>0.08</v>
      </c>
      <c r="G54" s="89">
        <f>E54*F54</f>
        <v>85748.855620607996</v>
      </c>
      <c r="H54" s="89">
        <f>G54+E54</f>
        <v>1157609.5508782079</v>
      </c>
      <c r="I54" s="110">
        <v>0</v>
      </c>
      <c r="J54" s="101">
        <v>283952.14848000003</v>
      </c>
      <c r="K54" s="89">
        <f>I54*H54</f>
        <v>0</v>
      </c>
      <c r="L54" s="92"/>
    </row>
    <row r="55" spans="1:12" x14ac:dyDescent="0.2">
      <c r="A55" s="98"/>
      <c r="B55" s="99"/>
      <c r="C55" s="89">
        <f>H54</f>
        <v>1157609.5508782079</v>
      </c>
      <c r="D55" s="89">
        <v>0</v>
      </c>
      <c r="E55" s="89">
        <f>C55+D55</f>
        <v>1157609.5508782079</v>
      </c>
      <c r="F55" s="90">
        <v>0.08</v>
      </c>
      <c r="G55" s="89">
        <f>E55*F55</f>
        <v>92608.764070256628</v>
      </c>
      <c r="H55" s="89">
        <f>G55+E55</f>
        <v>1250218.3149484645</v>
      </c>
      <c r="I55" s="110">
        <v>0</v>
      </c>
      <c r="J55" s="101">
        <v>283952.14848000003</v>
      </c>
      <c r="K55" s="89">
        <f>I55*H55</f>
        <v>0</v>
      </c>
      <c r="L55" s="92"/>
    </row>
    <row r="56" spans="1:12" ht="13.5" thickBot="1" x14ac:dyDescent="0.25">
      <c r="A56" s="102"/>
      <c r="B56" s="103"/>
      <c r="C56" s="104"/>
      <c r="D56" s="104"/>
      <c r="E56" s="104"/>
      <c r="F56" s="105"/>
      <c r="G56" s="104"/>
      <c r="H56" s="104"/>
      <c r="I56" s="106">
        <f>SUBTOTAL(109,I51:I55)</f>
        <v>30</v>
      </c>
      <c r="J56" s="107"/>
      <c r="K56" s="89"/>
      <c r="L56" s="113">
        <f>SUM(K51:K55)</f>
        <v>29368100.860185597</v>
      </c>
    </row>
    <row r="57" spans="1:12" ht="13.5" thickBot="1" x14ac:dyDescent="0.25">
      <c r="A57" s="67"/>
      <c r="B57" s="67"/>
      <c r="C57" s="67"/>
      <c r="D57" s="67"/>
      <c r="E57" s="67"/>
      <c r="F57" s="67"/>
      <c r="G57" s="67"/>
      <c r="H57" s="67"/>
      <c r="I57" s="67"/>
      <c r="J57" s="114"/>
      <c r="K57" s="115" t="s">
        <v>19</v>
      </c>
      <c r="L57" s="116" t="e">
        <f>SUM(L14,L26,L32,L38,#REF!,#REF!,L44,L50,L56)</f>
        <v>#REF!</v>
      </c>
    </row>
    <row r="62" spans="1:12" ht="13.5" thickBot="1" x14ac:dyDescent="0.25"/>
    <row r="63" spans="1:12" ht="23.25" thickBot="1" x14ac:dyDescent="0.25">
      <c r="A63" s="3" t="s">
        <v>20</v>
      </c>
      <c r="B63" s="4" t="s">
        <v>2</v>
      </c>
      <c r="C63" s="4" t="s">
        <v>3</v>
      </c>
      <c r="D63" s="4" t="s">
        <v>4</v>
      </c>
      <c r="E63" s="4" t="s">
        <v>5</v>
      </c>
      <c r="F63" s="4" t="s">
        <v>6</v>
      </c>
      <c r="G63" s="4" t="s">
        <v>7</v>
      </c>
      <c r="H63" s="4" t="s">
        <v>8</v>
      </c>
      <c r="I63" s="4" t="s">
        <v>9</v>
      </c>
      <c r="J63" s="5" t="s">
        <v>10</v>
      </c>
      <c r="K63" s="4" t="s">
        <v>11</v>
      </c>
      <c r="L63" s="6" t="s">
        <v>12</v>
      </c>
    </row>
    <row r="64" spans="1:12" x14ac:dyDescent="0.2">
      <c r="A64" s="117"/>
      <c r="B64" s="118"/>
      <c r="C64" s="119">
        <f>A66</f>
        <v>0</v>
      </c>
      <c r="D64" s="119">
        <f>C64*51.842%</f>
        <v>0</v>
      </c>
      <c r="E64" s="119">
        <f>C64+D64</f>
        <v>0</v>
      </c>
      <c r="F64" s="120">
        <v>0</v>
      </c>
      <c r="G64" s="119">
        <f>E64*F64</f>
        <v>0</v>
      </c>
      <c r="H64" s="121">
        <f>G64+E64</f>
        <v>0</v>
      </c>
      <c r="I64" s="122">
        <v>0</v>
      </c>
      <c r="J64" s="123">
        <v>152828.973</v>
      </c>
      <c r="K64" s="119">
        <f>I64*H64</f>
        <v>0</v>
      </c>
      <c r="L64" s="124"/>
    </row>
    <row r="65" spans="1:12" x14ac:dyDescent="0.2">
      <c r="A65" s="125" t="s">
        <v>13</v>
      </c>
      <c r="B65" s="126">
        <v>0</v>
      </c>
      <c r="C65" s="127">
        <f>H64</f>
        <v>0</v>
      </c>
      <c r="D65" s="127">
        <v>0</v>
      </c>
      <c r="E65" s="127">
        <f>C65+D65</f>
        <v>0</v>
      </c>
      <c r="F65" s="128">
        <v>0.08</v>
      </c>
      <c r="G65" s="127">
        <f>E65*F65</f>
        <v>0</v>
      </c>
      <c r="H65" s="129">
        <f>G65+E65</f>
        <v>0</v>
      </c>
      <c r="I65" s="130">
        <v>0</v>
      </c>
      <c r="J65" s="131">
        <v>165055.29084</v>
      </c>
      <c r="K65" s="127">
        <f>I65*H65</f>
        <v>0</v>
      </c>
      <c r="L65" s="132"/>
    </row>
    <row r="66" spans="1:12" x14ac:dyDescent="0.2">
      <c r="A66" s="133">
        <f>139000*B65</f>
        <v>0</v>
      </c>
      <c r="B66" s="134"/>
      <c r="C66" s="127">
        <f>H65</f>
        <v>0</v>
      </c>
      <c r="D66" s="127">
        <v>0</v>
      </c>
      <c r="E66" s="127">
        <f>C66+D66</f>
        <v>0</v>
      </c>
      <c r="F66" s="128">
        <v>0.08</v>
      </c>
      <c r="G66" s="127">
        <f>E66*F66</f>
        <v>0</v>
      </c>
      <c r="H66" s="129">
        <f>G66+E66</f>
        <v>0</v>
      </c>
      <c r="I66" s="130">
        <v>0</v>
      </c>
      <c r="J66" s="131">
        <v>178259.71410720001</v>
      </c>
      <c r="K66" s="127">
        <f>I66*H66</f>
        <v>0</v>
      </c>
      <c r="L66" s="135"/>
    </row>
    <row r="67" spans="1:12" x14ac:dyDescent="0.2">
      <c r="A67" s="96" t="s">
        <v>14</v>
      </c>
      <c r="B67" s="136"/>
      <c r="C67" s="127">
        <f>H66</f>
        <v>0</v>
      </c>
      <c r="D67" s="127">
        <v>0</v>
      </c>
      <c r="E67" s="127">
        <f>C67+D67</f>
        <v>0</v>
      </c>
      <c r="F67" s="128">
        <v>0.08</v>
      </c>
      <c r="G67" s="127">
        <f>E67*F67</f>
        <v>0</v>
      </c>
      <c r="H67" s="129">
        <f>G67+E67</f>
        <v>0</v>
      </c>
      <c r="I67" s="130">
        <v>0</v>
      </c>
      <c r="J67" s="131">
        <v>192520.49123577602</v>
      </c>
      <c r="K67" s="127">
        <f>I67*H67</f>
        <v>0</v>
      </c>
      <c r="L67" s="132"/>
    </row>
    <row r="68" spans="1:12" x14ac:dyDescent="0.2">
      <c r="A68" s="137"/>
      <c r="B68" s="138"/>
      <c r="C68" s="127">
        <f>H67</f>
        <v>0</v>
      </c>
      <c r="D68" s="127">
        <v>0</v>
      </c>
      <c r="E68" s="127">
        <f>C68+D68</f>
        <v>0</v>
      </c>
      <c r="F68" s="128">
        <v>0.08</v>
      </c>
      <c r="G68" s="127">
        <f>E68*F68</f>
        <v>0</v>
      </c>
      <c r="H68" s="129">
        <f>G68+E68</f>
        <v>0</v>
      </c>
      <c r="I68" s="130">
        <v>0</v>
      </c>
      <c r="J68" s="131">
        <v>207922.1305346381</v>
      </c>
      <c r="K68" s="127">
        <f>I68*H68</f>
        <v>0</v>
      </c>
      <c r="L68" s="132"/>
    </row>
    <row r="69" spans="1:12" ht="13.5" thickBot="1" x14ac:dyDescent="0.25">
      <c r="A69" s="139"/>
      <c r="B69" s="140"/>
      <c r="C69" s="141"/>
      <c r="D69" s="141"/>
      <c r="E69" s="141"/>
      <c r="F69" s="142"/>
      <c r="G69" s="141"/>
      <c r="H69" s="143"/>
      <c r="I69" s="144">
        <f>SUBTOTAL(109,I64:I68)</f>
        <v>0</v>
      </c>
      <c r="J69" s="145"/>
      <c r="K69" s="141"/>
      <c r="L69" s="146">
        <f>SUM(K64:K68)</f>
        <v>0</v>
      </c>
    </row>
    <row r="70" spans="1:12" x14ac:dyDescent="0.2">
      <c r="A70" s="117"/>
      <c r="B70" s="118"/>
      <c r="C70" s="119">
        <f>A72</f>
        <v>0</v>
      </c>
      <c r="D70" s="119">
        <f>C70*51.842%</f>
        <v>0</v>
      </c>
      <c r="E70" s="119">
        <f>C70+D70</f>
        <v>0</v>
      </c>
      <c r="F70" s="120">
        <v>0</v>
      </c>
      <c r="G70" s="119">
        <f>E70*F70</f>
        <v>0</v>
      </c>
      <c r="H70" s="121">
        <f>G70+E70</f>
        <v>0</v>
      </c>
      <c r="I70" s="122">
        <v>0</v>
      </c>
      <c r="J70" s="123">
        <v>194752.54920000001</v>
      </c>
      <c r="K70" s="119">
        <f>I70*H70</f>
        <v>0</v>
      </c>
      <c r="L70" s="124"/>
    </row>
    <row r="71" spans="1:12" x14ac:dyDescent="0.2">
      <c r="A71" s="125" t="s">
        <v>13</v>
      </c>
      <c r="B71" s="126">
        <v>0</v>
      </c>
      <c r="C71" s="127">
        <f>H70</f>
        <v>0</v>
      </c>
      <c r="D71" s="127">
        <v>0</v>
      </c>
      <c r="E71" s="127">
        <f>C71+D71</f>
        <v>0</v>
      </c>
      <c r="F71" s="128">
        <v>0.08</v>
      </c>
      <c r="G71" s="127">
        <f>E71*F71</f>
        <v>0</v>
      </c>
      <c r="H71" s="129">
        <f>G71+E71</f>
        <v>0</v>
      </c>
      <c r="I71" s="147">
        <v>0</v>
      </c>
      <c r="J71" s="148">
        <v>210332.75313599998</v>
      </c>
      <c r="K71" s="127">
        <f>I71*H71</f>
        <v>0</v>
      </c>
      <c r="L71" s="132"/>
    </row>
    <row r="72" spans="1:12" x14ac:dyDescent="0.2">
      <c r="A72" s="133">
        <f>100000*B71</f>
        <v>0</v>
      </c>
      <c r="B72" s="134"/>
      <c r="C72" s="127">
        <f>H71</f>
        <v>0</v>
      </c>
      <c r="D72" s="127">
        <v>0</v>
      </c>
      <c r="E72" s="127">
        <f>C72+D72</f>
        <v>0</v>
      </c>
      <c r="F72" s="128">
        <v>0.08</v>
      </c>
      <c r="G72" s="127">
        <f>E72*F72</f>
        <v>0</v>
      </c>
      <c r="H72" s="129">
        <f>G72+E72</f>
        <v>0</v>
      </c>
      <c r="I72" s="147">
        <v>0</v>
      </c>
      <c r="J72" s="148">
        <v>227159.37338688</v>
      </c>
      <c r="K72" s="127">
        <f>I72*H72</f>
        <v>0</v>
      </c>
      <c r="L72" s="135"/>
    </row>
    <row r="73" spans="1:12" x14ac:dyDescent="0.2">
      <c r="A73" s="96" t="s">
        <v>14</v>
      </c>
      <c r="B73" s="136"/>
      <c r="C73" s="127">
        <f>H72</f>
        <v>0</v>
      </c>
      <c r="D73" s="127">
        <v>0</v>
      </c>
      <c r="E73" s="127">
        <f>C73+D73</f>
        <v>0</v>
      </c>
      <c r="F73" s="128">
        <v>0.08</v>
      </c>
      <c r="G73" s="127">
        <f>E73*F73</f>
        <v>0</v>
      </c>
      <c r="H73" s="129">
        <f>G73+E73</f>
        <v>0</v>
      </c>
      <c r="I73" s="149">
        <v>0</v>
      </c>
      <c r="J73" s="148">
        <v>245332.12325783042</v>
      </c>
      <c r="K73" s="127">
        <f>I73*H73</f>
        <v>0</v>
      </c>
      <c r="L73" s="132"/>
    </row>
    <row r="74" spans="1:12" x14ac:dyDescent="0.2">
      <c r="A74" s="137"/>
      <c r="B74" s="138"/>
      <c r="C74" s="127">
        <f>H73</f>
        <v>0</v>
      </c>
      <c r="D74" s="127">
        <v>0</v>
      </c>
      <c r="E74" s="127">
        <f>C74+D74</f>
        <v>0</v>
      </c>
      <c r="F74" s="128">
        <v>0.08</v>
      </c>
      <c r="G74" s="127">
        <f>E74*F74</f>
        <v>0</v>
      </c>
      <c r="H74" s="129">
        <f>G74+E74</f>
        <v>0</v>
      </c>
      <c r="I74" s="149">
        <v>0</v>
      </c>
      <c r="J74" s="148">
        <v>264958.69311845687</v>
      </c>
      <c r="K74" s="127">
        <f>I74*H74</f>
        <v>0</v>
      </c>
      <c r="L74" s="132"/>
    </row>
    <row r="75" spans="1:12" ht="13.5" thickBot="1" x14ac:dyDescent="0.25">
      <c r="A75" s="139"/>
      <c r="B75" s="140"/>
      <c r="C75" s="141"/>
      <c r="D75" s="141"/>
      <c r="E75" s="141"/>
      <c r="F75" s="142"/>
      <c r="G75" s="141"/>
      <c r="H75" s="143"/>
      <c r="I75" s="150">
        <f>SUBTOTAL(109,I70:I74)</f>
        <v>0</v>
      </c>
      <c r="J75" s="145"/>
      <c r="K75" s="127"/>
      <c r="L75" s="161">
        <f>SUM(K70:K74)</f>
        <v>0</v>
      </c>
    </row>
    <row r="76" spans="1:12" x14ac:dyDescent="0.2">
      <c r="A76" s="67"/>
      <c r="B76" s="67"/>
      <c r="C76" s="67"/>
      <c r="D76" s="67"/>
      <c r="E76" s="67"/>
      <c r="F76" s="67"/>
      <c r="G76" s="67"/>
      <c r="H76" s="67"/>
      <c r="I76" s="67"/>
      <c r="J76" s="114"/>
      <c r="K76" s="50" t="s">
        <v>21</v>
      </c>
      <c r="L76" s="162">
        <f>(L69+L75)</f>
        <v>0</v>
      </c>
    </row>
    <row r="77" spans="1:12" x14ac:dyDescent="0.2">
      <c r="A77" s="67"/>
      <c r="B77" s="67"/>
      <c r="C77" s="67"/>
      <c r="D77" s="67"/>
      <c r="E77" s="67"/>
      <c r="F77" s="67"/>
      <c r="G77" s="67"/>
      <c r="H77" s="67"/>
      <c r="I77" s="67"/>
      <c r="J77" s="114"/>
      <c r="K77" s="50" t="s">
        <v>22</v>
      </c>
      <c r="L77" s="162">
        <f>(L58+L76)</f>
        <v>0</v>
      </c>
    </row>
    <row r="78" spans="1:12" x14ac:dyDescent="0.2">
      <c r="A78" s="67"/>
      <c r="B78" s="67"/>
      <c r="C78" s="67"/>
      <c r="D78" s="67"/>
      <c r="E78" s="67"/>
      <c r="F78" s="67"/>
      <c r="G78" s="67"/>
      <c r="H78" s="67"/>
      <c r="I78" s="67"/>
      <c r="J78" s="114"/>
      <c r="K78" s="50" t="s">
        <v>23</v>
      </c>
      <c r="L78" s="162">
        <f>(50000000+L77)</f>
        <v>50000000</v>
      </c>
    </row>
    <row r="80" spans="1:12" x14ac:dyDescent="0.2">
      <c r="A80" s="54"/>
    </row>
    <row r="81" spans="2:11" x14ac:dyDescent="0.2">
      <c r="B81" s="224" t="s">
        <v>151</v>
      </c>
      <c r="C81" s="224"/>
      <c r="D81" s="224"/>
      <c r="E81" s="224"/>
      <c r="F81" s="224"/>
      <c r="G81" s="224"/>
      <c r="H81" s="224"/>
      <c r="I81" s="224"/>
      <c r="J81" s="224"/>
      <c r="K81" s="224"/>
    </row>
    <row r="82" spans="2:11" x14ac:dyDescent="0.2">
      <c r="B82" s="224"/>
      <c r="C82" s="224"/>
      <c r="D82" s="224"/>
      <c r="E82" s="224"/>
      <c r="F82" s="224"/>
      <c r="G82" s="224"/>
      <c r="H82" s="224"/>
      <c r="I82" s="224"/>
      <c r="J82" s="224"/>
      <c r="K82" s="224"/>
    </row>
    <row r="83" spans="2:11" x14ac:dyDescent="0.2">
      <c r="B83" s="224"/>
      <c r="C83" s="224"/>
      <c r="D83" s="224"/>
      <c r="E83" s="224"/>
      <c r="F83" s="224"/>
      <c r="G83" s="224"/>
      <c r="H83" s="224"/>
      <c r="I83" s="224"/>
      <c r="J83" s="224"/>
      <c r="K83" s="224"/>
    </row>
  </sheetData>
  <mergeCells count="2">
    <mergeCell ref="A1:L1"/>
    <mergeCell ref="B81:K8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
  <sheetViews>
    <sheetView showGridLines="0" workbookViewId="0">
      <selection activeCell="J24" sqref="J24"/>
    </sheetView>
    <sheetView tabSelected="1" workbookViewId="1">
      <selection activeCell="I20" sqref="I20"/>
    </sheetView>
  </sheetViews>
  <sheetFormatPr defaultColWidth="0" defaultRowHeight="0" customHeight="1" zeroHeight="1" x14ac:dyDescent="0.2"/>
  <cols>
    <col min="1" max="1" width="56.7109375" style="53" bestFit="1" customWidth="1"/>
    <col min="2" max="2" width="28.42578125" style="53" customWidth="1"/>
    <col min="3" max="3" width="19.42578125" style="53" customWidth="1"/>
    <col min="4" max="4" width="19.42578125" style="222" customWidth="1"/>
    <col min="5" max="5" width="22" style="53" customWidth="1"/>
    <col min="6" max="6" width="26.5703125" style="53" bestFit="1" customWidth="1"/>
    <col min="7" max="8" width="12.7109375" style="53" customWidth="1"/>
    <col min="9" max="9" width="21.42578125" style="53" customWidth="1"/>
    <col min="10" max="10" width="24" style="53" customWidth="1"/>
    <col min="11" max="11" width="0" style="151" hidden="1" customWidth="1"/>
    <col min="12" max="16384" width="12.42578125" style="151" hidden="1"/>
  </cols>
  <sheetData>
    <row r="1" spans="1:10" ht="23.1" customHeight="1" x14ac:dyDescent="0.2">
      <c r="A1" s="237" t="s">
        <v>24</v>
      </c>
      <c r="B1" s="237"/>
      <c r="C1" s="237"/>
      <c r="D1" s="237"/>
      <c r="E1" s="237"/>
      <c r="F1" s="237"/>
      <c r="G1" s="237"/>
      <c r="H1" s="237"/>
      <c r="I1" s="237"/>
      <c r="J1" s="237"/>
    </row>
    <row r="2" spans="1:10" ht="23.1" customHeight="1" x14ac:dyDescent="0.2">
      <c r="A2" s="210" t="s">
        <v>25</v>
      </c>
      <c r="B2" s="236" t="s">
        <v>154</v>
      </c>
      <c r="C2" s="236"/>
      <c r="D2" s="236"/>
      <c r="E2" s="236"/>
      <c r="F2" s="236"/>
      <c r="G2" s="236"/>
      <c r="H2" s="236"/>
      <c r="I2" s="236"/>
      <c r="J2" s="236"/>
    </row>
    <row r="3" spans="1:10" ht="23.1" customHeight="1" x14ac:dyDescent="0.2">
      <c r="A3" s="211" t="s">
        <v>26</v>
      </c>
      <c r="B3" s="240" t="s">
        <v>164</v>
      </c>
      <c r="C3" s="241"/>
      <c r="D3" s="241"/>
      <c r="E3" s="241"/>
      <c r="F3" s="241"/>
      <c r="G3" s="241"/>
      <c r="H3" s="241"/>
      <c r="I3" s="241"/>
      <c r="J3" s="242"/>
    </row>
    <row r="4" spans="1:10" ht="23.1" customHeight="1" x14ac:dyDescent="0.2">
      <c r="A4" s="210" t="s">
        <v>27</v>
      </c>
      <c r="B4" s="240" t="s">
        <v>157</v>
      </c>
      <c r="C4" s="241"/>
      <c r="D4" s="241"/>
      <c r="E4" s="241"/>
      <c r="F4" s="241"/>
      <c r="G4" s="241"/>
      <c r="H4" s="241"/>
      <c r="I4" s="241"/>
      <c r="J4" s="242"/>
    </row>
    <row r="5" spans="1:10" ht="23.1" customHeight="1" x14ac:dyDescent="0.2">
      <c r="A5" s="210" t="s">
        <v>28</v>
      </c>
      <c r="B5" s="240" t="s">
        <v>165</v>
      </c>
      <c r="C5" s="241"/>
      <c r="D5" s="241"/>
      <c r="E5" s="241"/>
      <c r="F5" s="241"/>
      <c r="G5" s="241"/>
      <c r="H5" s="241"/>
      <c r="I5" s="241"/>
      <c r="J5" s="242"/>
    </row>
    <row r="6" spans="1:10" ht="23.1" customHeight="1" x14ac:dyDescent="0.2">
      <c r="A6" s="210" t="s">
        <v>29</v>
      </c>
      <c r="B6" s="240" t="s">
        <v>166</v>
      </c>
      <c r="C6" s="241"/>
      <c r="D6" s="241"/>
      <c r="E6" s="241"/>
      <c r="F6" s="241"/>
      <c r="G6" s="241"/>
      <c r="H6" s="241"/>
      <c r="I6" s="241"/>
      <c r="J6" s="242"/>
    </row>
    <row r="7" spans="1:10" ht="23.1" customHeight="1" x14ac:dyDescent="0.2">
      <c r="A7" s="163"/>
      <c r="B7" s="212"/>
      <c r="C7" s="212"/>
      <c r="D7" s="213"/>
      <c r="E7" s="212"/>
      <c r="F7" s="212"/>
      <c r="G7" s="212"/>
      <c r="H7" s="212"/>
      <c r="I7" s="212"/>
      <c r="J7" s="212"/>
    </row>
    <row r="8" spans="1:10" ht="23.1" customHeight="1" x14ac:dyDescent="0.2">
      <c r="A8" s="163"/>
      <c r="B8" s="212"/>
      <c r="C8" s="212"/>
      <c r="D8" s="213"/>
      <c r="E8" s="212"/>
      <c r="F8" s="212"/>
      <c r="G8" s="212"/>
      <c r="H8" s="212"/>
      <c r="I8" s="212"/>
      <c r="J8" s="212"/>
    </row>
    <row r="9" spans="1:10" ht="23.1" customHeight="1" x14ac:dyDescent="0.2">
      <c r="A9" s="238" t="s">
        <v>30</v>
      </c>
      <c r="B9" s="239"/>
      <c r="C9" s="239"/>
      <c r="D9" s="239"/>
      <c r="E9" s="239"/>
      <c r="F9" s="239"/>
      <c r="G9" s="239"/>
      <c r="H9" s="239"/>
      <c r="I9" s="239"/>
      <c r="J9" s="239"/>
    </row>
    <row r="10" spans="1:10" ht="23.1" customHeight="1" x14ac:dyDescent="0.2">
      <c r="A10" s="230" t="s">
        <v>31</v>
      </c>
      <c r="B10" s="232" t="s">
        <v>32</v>
      </c>
      <c r="C10" s="233"/>
      <c r="D10" s="233"/>
      <c r="E10" s="234"/>
      <c r="F10" s="226" t="s">
        <v>33</v>
      </c>
      <c r="G10" s="232" t="s">
        <v>34</v>
      </c>
      <c r="H10" s="235"/>
      <c r="I10" s="226" t="s">
        <v>35</v>
      </c>
      <c r="J10" s="228" t="s">
        <v>36</v>
      </c>
    </row>
    <row r="11" spans="1:10" ht="45.95" customHeight="1" x14ac:dyDescent="0.2">
      <c r="A11" s="231"/>
      <c r="B11" s="214" t="s">
        <v>37</v>
      </c>
      <c r="C11" s="214" t="s">
        <v>38</v>
      </c>
      <c r="D11" s="214" t="s">
        <v>39</v>
      </c>
      <c r="E11" s="1" t="s">
        <v>40</v>
      </c>
      <c r="F11" s="227"/>
      <c r="G11" s="1" t="s">
        <v>41</v>
      </c>
      <c r="H11" s="1" t="s">
        <v>40</v>
      </c>
      <c r="I11" s="227"/>
      <c r="J11" s="229"/>
    </row>
    <row r="12" spans="1:10" ht="23.1" customHeight="1" x14ac:dyDescent="0.2">
      <c r="A12" s="215" t="s">
        <v>42</v>
      </c>
      <c r="B12" s="12">
        <f>+'Personal científico'!T20</f>
        <v>0</v>
      </c>
      <c r="C12" s="216">
        <v>0.6</v>
      </c>
      <c r="D12" s="12">
        <f>B12*100/$B$24</f>
        <v>0</v>
      </c>
      <c r="E12" s="12">
        <f>+'Personal científico'!U20</f>
        <v>345268323.75813115</v>
      </c>
      <c r="F12" s="12">
        <f t="shared" ref="F12:F13" si="0">B12+E12</f>
        <v>345268323.75813115</v>
      </c>
      <c r="G12" s="12">
        <f>+'Personal científico'!V20</f>
        <v>0</v>
      </c>
      <c r="H12" s="12">
        <f>+'Personal científico'!W20</f>
        <v>0</v>
      </c>
      <c r="I12" s="12">
        <f t="shared" ref="I12:I23" si="1">SUM(G12:H12)</f>
        <v>0</v>
      </c>
      <c r="J12" s="217">
        <f>+F12+I12</f>
        <v>345268323.75813115</v>
      </c>
    </row>
    <row r="13" spans="1:10" ht="23.1" customHeight="1" x14ac:dyDescent="0.2">
      <c r="A13" s="215" t="s">
        <v>43</v>
      </c>
      <c r="B13" s="12">
        <f>'Equipos especializados'!E18</f>
        <v>239000000</v>
      </c>
      <c r="C13" s="216">
        <v>1</v>
      </c>
      <c r="D13" s="12">
        <f t="shared" ref="D13:D23" si="2">B13*100/$B$24</f>
        <v>81.110432362723145</v>
      </c>
      <c r="E13" s="12">
        <f>'Equipos especializados'!F18</f>
        <v>0</v>
      </c>
      <c r="F13" s="12">
        <f t="shared" si="0"/>
        <v>239000000</v>
      </c>
      <c r="G13" s="12">
        <f>+'Equipos especializados'!G18</f>
        <v>0</v>
      </c>
      <c r="H13" s="12">
        <f>+'Equipos especializados'!H18</f>
        <v>0</v>
      </c>
      <c r="I13" s="12">
        <f t="shared" si="1"/>
        <v>0</v>
      </c>
      <c r="J13" s="217">
        <f t="shared" ref="J13:J23" si="3">+F13+I13</f>
        <v>239000000</v>
      </c>
    </row>
    <row r="14" spans="1:10" ht="23.1" customHeight="1" x14ac:dyDescent="0.2">
      <c r="A14" s="215" t="s">
        <v>44</v>
      </c>
      <c r="B14" s="12">
        <f>+'Materiales y reactivos '!F17</f>
        <v>0</v>
      </c>
      <c r="C14" s="216">
        <v>1</v>
      </c>
      <c r="D14" s="12">
        <f t="shared" si="2"/>
        <v>0</v>
      </c>
      <c r="E14" s="12" t="s">
        <v>152</v>
      </c>
      <c r="F14" s="12">
        <f>B14</f>
        <v>0</v>
      </c>
      <c r="G14" s="12">
        <f>+'Materiales y reactivos '!G17</f>
        <v>0</v>
      </c>
      <c r="H14" s="12">
        <f>+'Materiales y reactivos '!H17</f>
        <v>0</v>
      </c>
      <c r="I14" s="12">
        <f t="shared" si="1"/>
        <v>0</v>
      </c>
      <c r="J14" s="217">
        <f t="shared" si="3"/>
        <v>0</v>
      </c>
    </row>
    <row r="15" spans="1:10" ht="23.1" customHeight="1" x14ac:dyDescent="0.2">
      <c r="A15" s="215" t="s">
        <v>45</v>
      </c>
      <c r="B15" s="12">
        <f>+'Salida de campo'!N16</f>
        <v>0</v>
      </c>
      <c r="C15" s="216">
        <v>0.5</v>
      </c>
      <c r="D15" s="12">
        <f t="shared" si="2"/>
        <v>0</v>
      </c>
      <c r="E15" s="12" t="s">
        <v>152</v>
      </c>
      <c r="F15" s="12">
        <f>B15</f>
        <v>0</v>
      </c>
      <c r="G15" s="12">
        <f>+'Salida de campo'!O16</f>
        <v>0</v>
      </c>
      <c r="H15" s="12">
        <f>+'Salida de campo'!P16</f>
        <v>0</v>
      </c>
      <c r="I15" s="12">
        <f t="shared" ref="I15:I20" si="4">SUM(G15:H15)</f>
        <v>0</v>
      </c>
      <c r="J15" s="217">
        <f t="shared" ref="J15:J20" si="5">+F15+I15</f>
        <v>0</v>
      </c>
    </row>
    <row r="16" spans="1:10" ht="23.1" customHeight="1" x14ac:dyDescent="0.2">
      <c r="A16" s="215" t="s">
        <v>46</v>
      </c>
      <c r="B16" s="12">
        <f>+Refrigerios!E18</f>
        <v>8000000</v>
      </c>
      <c r="C16" s="216">
        <v>0.1</v>
      </c>
      <c r="D16" s="12">
        <f t="shared" si="2"/>
        <v>2.7149935518903141</v>
      </c>
      <c r="E16" s="12" t="s">
        <v>152</v>
      </c>
      <c r="F16" s="12">
        <f>B16</f>
        <v>8000000</v>
      </c>
      <c r="G16" s="12">
        <f>+Refrigerios!F18</f>
        <v>0</v>
      </c>
      <c r="H16" s="12">
        <f>+Refrigerios!G18</f>
        <v>0</v>
      </c>
      <c r="I16" s="12">
        <f t="shared" si="4"/>
        <v>0</v>
      </c>
      <c r="J16" s="217">
        <f t="shared" si="5"/>
        <v>8000000</v>
      </c>
    </row>
    <row r="17" spans="1:10" ht="23.1" customHeight="1" x14ac:dyDescent="0.2">
      <c r="A17" s="215" t="s">
        <v>47</v>
      </c>
      <c r="B17" s="12">
        <f>+'Servicios técnicos'!F17</f>
        <v>24000000</v>
      </c>
      <c r="C17" s="216">
        <v>0.5</v>
      </c>
      <c r="D17" s="12">
        <f t="shared" si="2"/>
        <v>8.1449806556709436</v>
      </c>
      <c r="E17" s="12" t="s">
        <v>152</v>
      </c>
      <c r="F17" s="12">
        <f>B17</f>
        <v>24000000</v>
      </c>
      <c r="G17" s="12">
        <f>+'Servicios técnicos'!G17</f>
        <v>0</v>
      </c>
      <c r="H17" s="12">
        <f>+'Servicios técnicos'!H17</f>
        <v>0</v>
      </c>
      <c r="I17" s="12">
        <f t="shared" si="4"/>
        <v>0</v>
      </c>
      <c r="J17" s="217">
        <f>+F17+I17</f>
        <v>24000000</v>
      </c>
    </row>
    <row r="18" spans="1:10" ht="23.1" customHeight="1" x14ac:dyDescent="0.2">
      <c r="A18" s="215" t="s">
        <v>48</v>
      </c>
      <c r="B18" s="12">
        <f>+'Software especializado '!F16</f>
        <v>0</v>
      </c>
      <c r="C18" s="216">
        <v>0.2</v>
      </c>
      <c r="D18" s="12">
        <f t="shared" si="2"/>
        <v>0</v>
      </c>
      <c r="E18" s="12">
        <f>+'Software especializado '!G16</f>
        <v>0</v>
      </c>
      <c r="F18" s="12">
        <f t="shared" ref="F18" si="6">B18+E18</f>
        <v>0</v>
      </c>
      <c r="G18" s="12">
        <f>+'Software especializado '!H16</f>
        <v>0</v>
      </c>
      <c r="H18" s="12">
        <f>+'Software especializado '!I16</f>
        <v>0</v>
      </c>
      <c r="I18" s="12">
        <f t="shared" si="4"/>
        <v>0</v>
      </c>
      <c r="J18" s="217">
        <f t="shared" si="5"/>
        <v>0</v>
      </c>
    </row>
    <row r="19" spans="1:10" ht="23.1" customHeight="1" x14ac:dyDescent="0.2">
      <c r="A19" s="215" t="s">
        <v>49</v>
      </c>
      <c r="B19" s="12">
        <f>+'Pólizas para la realización de '!E16</f>
        <v>0</v>
      </c>
      <c r="C19" s="216">
        <v>1</v>
      </c>
      <c r="D19" s="12">
        <f t="shared" si="2"/>
        <v>0</v>
      </c>
      <c r="E19" s="12" t="s">
        <v>152</v>
      </c>
      <c r="F19" s="12">
        <f>B19</f>
        <v>0</v>
      </c>
      <c r="G19" s="12">
        <f>+'Pólizas para la realización de '!F16</f>
        <v>0</v>
      </c>
      <c r="H19" s="12" t="e">
        <f>+'Pólizas para la realización de '!#REF!</f>
        <v>#REF!</v>
      </c>
      <c r="I19" s="12" t="e">
        <f t="shared" si="4"/>
        <v>#REF!</v>
      </c>
      <c r="J19" s="217" t="e">
        <f t="shared" si="5"/>
        <v>#REF!</v>
      </c>
    </row>
    <row r="20" spans="1:10" ht="23.1" customHeight="1" x14ac:dyDescent="0.2">
      <c r="A20" s="215" t="s">
        <v>50</v>
      </c>
      <c r="B20" s="12">
        <f>+'Apoyo a la producción científic'!F15</f>
        <v>0</v>
      </c>
      <c r="C20" s="216">
        <v>0.3</v>
      </c>
      <c r="D20" s="12">
        <f t="shared" si="2"/>
        <v>0</v>
      </c>
      <c r="E20" s="12" t="s">
        <v>152</v>
      </c>
      <c r="F20" s="12">
        <f>B20</f>
        <v>0</v>
      </c>
      <c r="G20" s="12">
        <f>+'Apoyo a la producción científic'!G15</f>
        <v>0</v>
      </c>
      <c r="H20" s="12" t="e">
        <f>+'Apoyo a la producción científic'!#REF!</f>
        <v>#REF!</v>
      </c>
      <c r="I20" s="12" t="e">
        <f t="shared" si="4"/>
        <v>#REF!</v>
      </c>
      <c r="J20" s="217" t="e">
        <f t="shared" si="5"/>
        <v>#REF!</v>
      </c>
    </row>
    <row r="21" spans="1:10" ht="23.1" customHeight="1" x14ac:dyDescent="0.2">
      <c r="A21" s="215" t="s">
        <v>51</v>
      </c>
      <c r="B21" s="12">
        <f>+'Apoyo a la difusión de resultad'!N17</f>
        <v>12660000</v>
      </c>
      <c r="C21" s="216">
        <v>0.1</v>
      </c>
      <c r="D21" s="12">
        <f t="shared" si="2"/>
        <v>4.2964772958664224</v>
      </c>
      <c r="E21" s="12" t="s">
        <v>152</v>
      </c>
      <c r="F21" s="12">
        <f>B21</f>
        <v>12660000</v>
      </c>
      <c r="G21" s="12">
        <f>+'Apoyo a la difusión de resultad'!O17</f>
        <v>0</v>
      </c>
      <c r="H21" s="12">
        <f>+'Apoyo a la difusión de resultad'!P17</f>
        <v>0</v>
      </c>
      <c r="I21" s="12">
        <f t="shared" si="1"/>
        <v>0</v>
      </c>
      <c r="J21" s="217">
        <f t="shared" si="3"/>
        <v>12660000</v>
      </c>
    </row>
    <row r="22" spans="1:10" ht="23.1" customHeight="1" x14ac:dyDescent="0.2">
      <c r="A22" s="215" t="s">
        <v>52</v>
      </c>
      <c r="B22" s="12">
        <f>'Otros gastos'!F18</f>
        <v>0</v>
      </c>
      <c r="C22" s="216">
        <v>0.1</v>
      </c>
      <c r="D22" s="12">
        <f t="shared" si="2"/>
        <v>0</v>
      </c>
      <c r="E22" s="12" t="s">
        <v>152</v>
      </c>
      <c r="F22" s="12">
        <f>B22</f>
        <v>0</v>
      </c>
      <c r="G22" s="12">
        <f>+'Otros gastos'!G18</f>
        <v>0</v>
      </c>
      <c r="H22" s="12">
        <f>+'Otros gastos'!H18</f>
        <v>0</v>
      </c>
      <c r="I22" s="12">
        <f t="shared" si="1"/>
        <v>0</v>
      </c>
      <c r="J22" s="217">
        <f t="shared" si="3"/>
        <v>0</v>
      </c>
    </row>
    <row r="23" spans="1:10" ht="23.1" customHeight="1" x14ac:dyDescent="0.2">
      <c r="A23" s="215" t="s">
        <v>53</v>
      </c>
      <c r="B23" s="12">
        <f>+'Estrategia de divulgación'!F18</f>
        <v>11000000</v>
      </c>
      <c r="C23" s="216">
        <v>0.1</v>
      </c>
      <c r="D23" s="12">
        <f t="shared" si="2"/>
        <v>3.7331161338491823</v>
      </c>
      <c r="E23" s="12" t="s">
        <v>152</v>
      </c>
      <c r="F23" s="12">
        <f>B23</f>
        <v>11000000</v>
      </c>
      <c r="G23" s="12">
        <f>+'Salida de campo'!O16</f>
        <v>0</v>
      </c>
      <c r="H23" s="12">
        <f>+'Salida de campo'!P16</f>
        <v>0</v>
      </c>
      <c r="I23" s="12">
        <f t="shared" si="1"/>
        <v>0</v>
      </c>
      <c r="J23" s="217">
        <f t="shared" si="3"/>
        <v>11000000</v>
      </c>
    </row>
    <row r="24" spans="1:10" ht="23.1" customHeight="1" thickBot="1" x14ac:dyDescent="0.25">
      <c r="A24" s="218" t="s">
        <v>54</v>
      </c>
      <c r="B24" s="219">
        <f>SUM(B12:B23)</f>
        <v>294660000</v>
      </c>
      <c r="C24" s="219"/>
      <c r="D24" s="220"/>
      <c r="E24" s="219">
        <f t="shared" ref="E24:J24" si="7">SUM(E12:E23)</f>
        <v>345268323.75813115</v>
      </c>
      <c r="F24" s="219">
        <f t="shared" si="7"/>
        <v>639928323.75813115</v>
      </c>
      <c r="G24" s="219">
        <f t="shared" si="7"/>
        <v>0</v>
      </c>
      <c r="H24" s="219" t="e">
        <f t="shared" si="7"/>
        <v>#REF!</v>
      </c>
      <c r="I24" s="219" t="e">
        <f t="shared" si="7"/>
        <v>#REF!</v>
      </c>
      <c r="J24" s="221" t="e">
        <f t="shared" si="7"/>
        <v>#REF!</v>
      </c>
    </row>
    <row r="25" spans="1:10" ht="23.1" customHeight="1" x14ac:dyDescent="0.2"/>
    <row r="26" spans="1:10" ht="23.1" customHeight="1" x14ac:dyDescent="0.2"/>
    <row r="27" spans="1:10" s="152" customFormat="1" ht="81" customHeight="1" x14ac:dyDescent="0.2">
      <c r="A27" s="225" t="s">
        <v>55</v>
      </c>
      <c r="B27" s="225"/>
      <c r="C27" s="225"/>
      <c r="D27" s="225"/>
      <c r="E27" s="225"/>
      <c r="F27" s="225"/>
      <c r="G27" s="225"/>
      <c r="H27" s="225"/>
      <c r="I27" s="225"/>
      <c r="J27" s="225"/>
    </row>
    <row r="28" spans="1:10" ht="23.1" customHeight="1" x14ac:dyDescent="0.2">
      <c r="A28" s="54"/>
    </row>
    <row r="29" spans="1:10" ht="23.1" customHeight="1" x14ac:dyDescent="0.2"/>
  </sheetData>
  <sheetProtection algorithmName="SHA-512" hashValue="Oxk2jq2dKNxWqvqmK6x9A3VKgFm9aoP8JpTKsb5J80Deeh+ouhuodyVTiCHDTjsqnT531j2q1lZAlVniocSsWQ==" saltValue="Ka/Bks64czKB1XVngrU7kQ==" spinCount="100000" sheet="1" objects="1" scenarios="1"/>
  <mergeCells count="14">
    <mergeCell ref="B2:J2"/>
    <mergeCell ref="A1:J1"/>
    <mergeCell ref="A9:J9"/>
    <mergeCell ref="B6:J6"/>
    <mergeCell ref="B5:J5"/>
    <mergeCell ref="B4:J4"/>
    <mergeCell ref="B3:J3"/>
    <mergeCell ref="A27:J27"/>
    <mergeCell ref="I10:I11"/>
    <mergeCell ref="J10:J11"/>
    <mergeCell ref="A10:A11"/>
    <mergeCell ref="B10:E10"/>
    <mergeCell ref="F10:F11"/>
    <mergeCell ref="G10:H10"/>
  </mergeCells>
  <pageMargins left="0.7" right="0.7" top="0.75" bottom="0.75" header="0" footer="0"/>
  <pageSetup orientation="landscape" r:id="rId1"/>
  <ignoredErrors>
    <ignoredError sqref="F18"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7"/>
  <sheetViews>
    <sheetView showGridLines="0" zoomScale="85" zoomScaleNormal="85" workbookViewId="0">
      <pane ySplit="7" topLeftCell="A8" activePane="bottomLeft" state="frozen"/>
      <selection pane="bottomLeft" activeCell="R1" sqref="R1:R1048576"/>
    </sheetView>
    <sheetView workbookViewId="1"/>
  </sheetViews>
  <sheetFormatPr defaultColWidth="0" defaultRowHeight="14.25" customHeight="1" zeroHeight="1" x14ac:dyDescent="0.2"/>
  <cols>
    <col min="1" max="1" width="29.28515625" style="153" customWidth="1"/>
    <col min="2" max="2" width="51.28515625" style="153" customWidth="1"/>
    <col min="3" max="3" width="16" style="153" customWidth="1"/>
    <col min="4" max="4" width="13.42578125" style="153" customWidth="1"/>
    <col min="5" max="5" width="30.7109375" style="153" customWidth="1"/>
    <col min="6" max="6" width="25" style="153" customWidth="1"/>
    <col min="7" max="7" width="10.42578125" style="153" customWidth="1"/>
    <col min="8" max="8" width="12.140625" style="153" customWidth="1"/>
    <col min="9" max="9" width="13.7109375" style="153" customWidth="1"/>
    <col min="10" max="11" width="10.42578125" style="153" customWidth="1"/>
    <col min="12" max="12" width="12.28515625" style="153" bestFit="1" customWidth="1"/>
    <col min="13" max="14" width="10.42578125" style="153" customWidth="1"/>
    <col min="15" max="15" width="12.28515625" style="153" bestFit="1" customWidth="1"/>
    <col min="16" max="18" width="10.42578125" style="153" customWidth="1"/>
    <col min="19" max="19" width="12.28515625" style="153" bestFit="1" customWidth="1"/>
    <col min="20" max="20" width="20.42578125" style="153" customWidth="1"/>
    <col min="21" max="21" width="19.7109375" style="153" customWidth="1"/>
    <col min="22" max="23" width="10.42578125" style="153" customWidth="1"/>
    <col min="24" max="24" width="12.28515625" style="153" bestFit="1" customWidth="1"/>
    <col min="25" max="25" width="10.42578125" style="153" customWidth="1"/>
    <col min="26" max="28" width="10.42578125" style="153" hidden="1" customWidth="1"/>
    <col min="29" max="16384" width="12.42578125" style="153" hidden="1"/>
  </cols>
  <sheetData>
    <row r="1" spans="1:24" ht="14.25" customHeight="1" x14ac:dyDescent="0.2">
      <c r="A1" s="163" t="str">
        <f>'RESUMEN GENERAL'!A3</f>
        <v xml:space="preserve">Título del proyecto:   </v>
      </c>
      <c r="B1" s="164" t="str" cm="1">
        <f t="array" ref="B1:J1">'RESUMEN GENERAL'!B3:J3</f>
        <v xml:space="preserve">Funciones evolutivas del habla dirigida a bebés: Impacto en la atención, las preferencias auditivas y el desarrollo lingüístico y musical temprano </v>
      </c>
      <c r="C1" s="165">
        <v>0</v>
      </c>
      <c r="D1" s="165">
        <v>0</v>
      </c>
      <c r="E1" s="165">
        <v>0</v>
      </c>
      <c r="F1" s="165">
        <v>0</v>
      </c>
      <c r="G1" s="165">
        <v>0</v>
      </c>
      <c r="H1" s="165">
        <v>0</v>
      </c>
      <c r="I1" s="165">
        <v>0</v>
      </c>
      <c r="J1" s="165">
        <v>0</v>
      </c>
    </row>
    <row r="2" spans="1:24" ht="14.25" customHeight="1" x14ac:dyDescent="0.2">
      <c r="A2" s="153" t="str">
        <f>'RESUMEN GENERAL'!A4</f>
        <v xml:space="preserve">Investigador Principal: </v>
      </c>
      <c r="B2" s="153" t="str" cm="1">
        <f t="array" ref="B2:J2">'RESUMEN GENERAL'!B4:J4</f>
        <v>Juan David Leongómez Peña</v>
      </c>
      <c r="C2" s="165">
        <v>0</v>
      </c>
      <c r="D2" s="165">
        <v>0</v>
      </c>
      <c r="E2" s="165">
        <v>0</v>
      </c>
      <c r="F2" s="165">
        <v>0</v>
      </c>
      <c r="G2" s="165">
        <v>0</v>
      </c>
      <c r="H2" s="165">
        <v>0</v>
      </c>
      <c r="I2" s="165">
        <v>0</v>
      </c>
      <c r="J2" s="165">
        <v>0</v>
      </c>
    </row>
    <row r="3" spans="1:24" ht="14.25" customHeight="1" x14ac:dyDescent="0.2"/>
    <row r="4" spans="1:24" ht="14.25" customHeight="1" x14ac:dyDescent="0.2">
      <c r="A4" s="163" t="s">
        <v>56</v>
      </c>
    </row>
    <row r="5" spans="1:24" ht="56.25" customHeight="1" x14ac:dyDescent="0.2">
      <c r="A5" s="257" t="s">
        <v>150</v>
      </c>
      <c r="B5" s="257"/>
      <c r="C5" s="257"/>
      <c r="D5" s="257"/>
      <c r="E5" s="257"/>
      <c r="F5" s="257"/>
      <c r="G5" s="257"/>
      <c r="H5" s="257"/>
      <c r="I5" s="257"/>
      <c r="J5" s="166"/>
      <c r="K5" s="166"/>
      <c r="L5" s="166"/>
      <c r="M5" s="166"/>
      <c r="N5" s="166"/>
      <c r="O5" s="166"/>
      <c r="P5" s="166"/>
      <c r="Q5" s="166"/>
      <c r="R5" s="166"/>
    </row>
    <row r="6" spans="1:24" ht="30" customHeight="1" x14ac:dyDescent="0.2">
      <c r="A6" s="243" t="s">
        <v>57</v>
      </c>
      <c r="B6" s="243" t="s">
        <v>58</v>
      </c>
      <c r="C6" s="243" t="s">
        <v>59</v>
      </c>
      <c r="D6" s="243" t="s">
        <v>60</v>
      </c>
      <c r="E6" s="243" t="s">
        <v>61</v>
      </c>
      <c r="F6" s="243" t="s">
        <v>62</v>
      </c>
      <c r="G6" s="243" t="s">
        <v>63</v>
      </c>
      <c r="H6" s="243" t="s">
        <v>64</v>
      </c>
      <c r="I6" s="243" t="s">
        <v>65</v>
      </c>
      <c r="J6" s="258" t="s">
        <v>66</v>
      </c>
      <c r="K6" s="259"/>
      <c r="L6" s="260"/>
      <c r="M6" s="258" t="s">
        <v>67</v>
      </c>
      <c r="N6" s="259"/>
      <c r="O6" s="260"/>
      <c r="P6" s="258" t="s">
        <v>68</v>
      </c>
      <c r="Q6" s="259"/>
      <c r="R6" s="260"/>
      <c r="S6" s="261" t="s">
        <v>54</v>
      </c>
      <c r="T6" s="258" t="s">
        <v>32</v>
      </c>
      <c r="U6" s="260"/>
      <c r="V6" s="263" t="s">
        <v>69</v>
      </c>
      <c r="W6" s="253"/>
      <c r="X6" s="243" t="s">
        <v>54</v>
      </c>
    </row>
    <row r="7" spans="1:24" ht="65.25" customHeight="1" x14ac:dyDescent="0.2">
      <c r="A7" s="244"/>
      <c r="B7" s="244"/>
      <c r="C7" s="244"/>
      <c r="D7" s="244"/>
      <c r="E7" s="244"/>
      <c r="F7" s="244"/>
      <c r="G7" s="244"/>
      <c r="H7" s="244"/>
      <c r="I7" s="244"/>
      <c r="J7" s="167" t="s">
        <v>70</v>
      </c>
      <c r="K7" s="167" t="s">
        <v>9</v>
      </c>
      <c r="L7" s="167" t="s">
        <v>71</v>
      </c>
      <c r="M7" s="167" t="s">
        <v>70</v>
      </c>
      <c r="N7" s="167" t="s">
        <v>9</v>
      </c>
      <c r="O7" s="167" t="s">
        <v>71</v>
      </c>
      <c r="P7" s="167" t="s">
        <v>70</v>
      </c>
      <c r="Q7" s="167" t="s">
        <v>9</v>
      </c>
      <c r="R7" s="167" t="s">
        <v>71</v>
      </c>
      <c r="S7" s="262"/>
      <c r="T7" s="168" t="s">
        <v>72</v>
      </c>
      <c r="U7" s="167" t="s">
        <v>73</v>
      </c>
      <c r="V7" s="169" t="s">
        <v>41</v>
      </c>
      <c r="W7" s="169" t="s">
        <v>40</v>
      </c>
      <c r="X7" s="244"/>
    </row>
    <row r="8" spans="1:24" ht="14.25" customHeight="1" x14ac:dyDescent="0.2">
      <c r="A8" s="170" t="s">
        <v>157</v>
      </c>
      <c r="B8" s="171" t="s">
        <v>171</v>
      </c>
      <c r="C8" s="171" t="s">
        <v>172</v>
      </c>
      <c r="D8" s="171" t="s">
        <v>173</v>
      </c>
      <c r="E8" s="171" t="s">
        <v>174</v>
      </c>
      <c r="F8" s="172" t="s">
        <v>175</v>
      </c>
      <c r="G8" s="172">
        <v>1</v>
      </c>
      <c r="H8" s="173">
        <v>30</v>
      </c>
      <c r="I8" s="174">
        <v>10</v>
      </c>
      <c r="J8" s="175">
        <v>3137055.7199999997</v>
      </c>
      <c r="K8" s="173">
        <v>11</v>
      </c>
      <c r="L8" s="187">
        <f>J8*K8</f>
        <v>34507612.919999994</v>
      </c>
      <c r="M8" s="175">
        <v>3388020.1775999996</v>
      </c>
      <c r="N8" s="173">
        <v>11</v>
      </c>
      <c r="O8" s="187">
        <f t="shared" ref="O8:O19" si="0">M8*N8</f>
        <v>37268221.953599997</v>
      </c>
      <c r="P8" s="175">
        <v>3659061.7918079994</v>
      </c>
      <c r="Q8" s="173">
        <v>6</v>
      </c>
      <c r="R8" s="187">
        <f t="shared" ref="R8" si="1">P8*Q8</f>
        <v>21954370.750847995</v>
      </c>
      <c r="S8" s="188">
        <f t="shared" ref="S8:S19" si="2">+L8+O8+R8</f>
        <v>93730205.624447986</v>
      </c>
      <c r="T8" s="154">
        <v>0</v>
      </c>
      <c r="U8" s="189">
        <f>S8</f>
        <v>93730205.624447986</v>
      </c>
      <c r="V8" s="154">
        <v>0</v>
      </c>
      <c r="W8" s="154">
        <v>0</v>
      </c>
      <c r="X8" s="189">
        <f>+T8+U8+V8+W8</f>
        <v>93730205.624447986</v>
      </c>
    </row>
    <row r="9" spans="1:24" ht="14.25" customHeight="1" x14ac:dyDescent="0.2">
      <c r="A9" s="170" t="s">
        <v>167</v>
      </c>
      <c r="B9" s="171" t="s">
        <v>176</v>
      </c>
      <c r="C9" s="171" t="s">
        <v>172</v>
      </c>
      <c r="D9" s="171" t="s">
        <v>177</v>
      </c>
      <c r="E9" s="171" t="s">
        <v>174</v>
      </c>
      <c r="F9" s="172" t="s">
        <v>178</v>
      </c>
      <c r="G9" s="172">
        <v>1</v>
      </c>
      <c r="H9" s="173">
        <v>30</v>
      </c>
      <c r="I9" s="174">
        <v>6</v>
      </c>
      <c r="J9" s="175">
        <v>1882233.432</v>
      </c>
      <c r="K9" s="173">
        <v>11</v>
      </c>
      <c r="L9" s="187">
        <f t="shared" ref="L9:L19" si="3">J9*K9</f>
        <v>20704567.752</v>
      </c>
      <c r="M9" s="175">
        <v>2032812.10656</v>
      </c>
      <c r="N9" s="173">
        <v>11</v>
      </c>
      <c r="O9" s="187">
        <f t="shared" si="0"/>
        <v>22360933.17216</v>
      </c>
      <c r="P9" s="175">
        <v>2195437.0750847999</v>
      </c>
      <c r="Q9" s="173">
        <v>6</v>
      </c>
      <c r="R9" s="187">
        <f t="shared" ref="R9:R19" si="4">P9*Q9</f>
        <v>13172622.450508799</v>
      </c>
      <c r="S9" s="188">
        <f t="shared" si="2"/>
        <v>56238123.374668807</v>
      </c>
      <c r="T9" s="154">
        <v>0</v>
      </c>
      <c r="U9" s="189">
        <f t="shared" ref="U9:U15" si="5">S9</f>
        <v>56238123.374668807</v>
      </c>
      <c r="V9" s="154">
        <v>0</v>
      </c>
      <c r="W9" s="154">
        <v>0</v>
      </c>
      <c r="X9" s="189">
        <f t="shared" ref="X9:X20" si="6">+T9+U9+V9+W9</f>
        <v>56238123.374668807</v>
      </c>
    </row>
    <row r="10" spans="1:24" ht="14.25" customHeight="1" x14ac:dyDescent="0.2">
      <c r="A10" s="170" t="s">
        <v>161</v>
      </c>
      <c r="B10" s="171" t="s">
        <v>179</v>
      </c>
      <c r="C10" s="171" t="s">
        <v>180</v>
      </c>
      <c r="D10" s="171" t="s">
        <v>181</v>
      </c>
      <c r="E10" s="171" t="s">
        <v>174</v>
      </c>
      <c r="F10" s="172" t="s">
        <v>182</v>
      </c>
      <c r="G10" s="172">
        <v>1</v>
      </c>
      <c r="H10" s="173">
        <v>30</v>
      </c>
      <c r="I10" s="176">
        <v>2</v>
      </c>
      <c r="J10" s="175">
        <v>918947.78399999999</v>
      </c>
      <c r="K10" s="173">
        <v>11</v>
      </c>
      <c r="L10" s="187">
        <f t="shared" si="3"/>
        <v>10108425.624</v>
      </c>
      <c r="M10" s="175">
        <v>992463.60672000004</v>
      </c>
      <c r="N10" s="173">
        <v>11</v>
      </c>
      <c r="O10" s="187">
        <f t="shared" si="0"/>
        <v>10917099.67392</v>
      </c>
      <c r="P10" s="175">
        <v>1071860.6952575999</v>
      </c>
      <c r="Q10" s="173">
        <v>6</v>
      </c>
      <c r="R10" s="187">
        <f>P10*Q10</f>
        <v>6431164.1715455996</v>
      </c>
      <c r="S10" s="188">
        <f t="shared" si="2"/>
        <v>27456689.469465598</v>
      </c>
      <c r="T10" s="154">
        <v>0</v>
      </c>
      <c r="U10" s="189">
        <f t="shared" si="5"/>
        <v>27456689.469465598</v>
      </c>
      <c r="V10" s="154">
        <v>0</v>
      </c>
      <c r="W10" s="154">
        <v>0</v>
      </c>
      <c r="X10" s="189">
        <f t="shared" si="6"/>
        <v>27456689.469465598</v>
      </c>
    </row>
    <row r="11" spans="1:24" ht="14.25" customHeight="1" x14ac:dyDescent="0.2">
      <c r="A11" s="177" t="s">
        <v>159</v>
      </c>
      <c r="B11" s="171" t="s">
        <v>176</v>
      </c>
      <c r="C11" s="171" t="s">
        <v>180</v>
      </c>
      <c r="D11" s="171" t="s">
        <v>183</v>
      </c>
      <c r="E11" s="171" t="s">
        <v>174</v>
      </c>
      <c r="F11" s="172" t="s">
        <v>182</v>
      </c>
      <c r="G11" s="172">
        <v>1</v>
      </c>
      <c r="H11" s="173">
        <v>30</v>
      </c>
      <c r="I11" s="176">
        <v>2</v>
      </c>
      <c r="J11" s="175">
        <v>510796.48800000001</v>
      </c>
      <c r="K11" s="173">
        <v>11</v>
      </c>
      <c r="L11" s="187">
        <f>J11*K11</f>
        <v>5618761.3679999998</v>
      </c>
      <c r="M11" s="175">
        <v>551660.20704000001</v>
      </c>
      <c r="N11" s="173">
        <v>11</v>
      </c>
      <c r="O11" s="187">
        <f t="shared" si="0"/>
        <v>6068262.2774400003</v>
      </c>
      <c r="P11" s="175">
        <v>595793.02360319998</v>
      </c>
      <c r="Q11" s="173">
        <v>6</v>
      </c>
      <c r="R11" s="187">
        <f t="shared" si="4"/>
        <v>3574758.1416191999</v>
      </c>
      <c r="S11" s="188">
        <f t="shared" si="2"/>
        <v>15261781.787059201</v>
      </c>
      <c r="T11" s="154">
        <v>0</v>
      </c>
      <c r="U11" s="189">
        <f t="shared" si="5"/>
        <v>15261781.787059201</v>
      </c>
      <c r="V11" s="154">
        <v>0</v>
      </c>
      <c r="W11" s="154">
        <v>0</v>
      </c>
      <c r="X11" s="189">
        <f t="shared" si="6"/>
        <v>15261781.787059201</v>
      </c>
    </row>
    <row r="12" spans="1:24" ht="14.25" customHeight="1" x14ac:dyDescent="0.2">
      <c r="A12" s="177" t="s">
        <v>155</v>
      </c>
      <c r="B12" s="171" t="s">
        <v>176</v>
      </c>
      <c r="C12" s="171" t="s">
        <v>180</v>
      </c>
      <c r="D12" s="171" t="s">
        <v>177</v>
      </c>
      <c r="E12" s="171" t="s">
        <v>174</v>
      </c>
      <c r="F12" s="172" t="s">
        <v>182</v>
      </c>
      <c r="G12" s="172">
        <v>1</v>
      </c>
      <c r="H12" s="173">
        <v>30</v>
      </c>
      <c r="I12" s="176">
        <v>2</v>
      </c>
      <c r="J12" s="175">
        <v>510796.48800000001</v>
      </c>
      <c r="K12" s="173">
        <v>11</v>
      </c>
      <c r="L12" s="187">
        <f>J12*K12</f>
        <v>5618761.3679999998</v>
      </c>
      <c r="M12" s="175">
        <v>551660.20704000001</v>
      </c>
      <c r="N12" s="173">
        <v>11</v>
      </c>
      <c r="O12" s="187">
        <f t="shared" si="0"/>
        <v>6068262.2774400003</v>
      </c>
      <c r="P12" s="175">
        <v>595793.02360319998</v>
      </c>
      <c r="Q12" s="173">
        <v>6</v>
      </c>
      <c r="R12" s="187">
        <f t="shared" si="4"/>
        <v>3574758.1416191999</v>
      </c>
      <c r="S12" s="188">
        <f t="shared" si="2"/>
        <v>15261781.787059201</v>
      </c>
      <c r="T12" s="154">
        <v>0</v>
      </c>
      <c r="U12" s="189">
        <f t="shared" si="5"/>
        <v>15261781.787059201</v>
      </c>
      <c r="V12" s="154">
        <v>0</v>
      </c>
      <c r="W12" s="154">
        <v>0</v>
      </c>
      <c r="X12" s="189">
        <f t="shared" si="6"/>
        <v>15261781.787059201</v>
      </c>
    </row>
    <row r="13" spans="1:24" ht="14.25" customHeight="1" x14ac:dyDescent="0.2">
      <c r="A13" s="177" t="s">
        <v>168</v>
      </c>
      <c r="B13" s="171" t="s">
        <v>179</v>
      </c>
      <c r="C13" s="171" t="s">
        <v>184</v>
      </c>
      <c r="D13" s="171" t="s">
        <v>185</v>
      </c>
      <c r="E13" s="171" t="s">
        <v>186</v>
      </c>
      <c r="F13" s="172" t="s">
        <v>182</v>
      </c>
      <c r="G13" s="172">
        <v>1</v>
      </c>
      <c r="H13" s="173">
        <v>30</v>
      </c>
      <c r="I13" s="176">
        <v>0</v>
      </c>
      <c r="J13" s="175">
        <v>0</v>
      </c>
      <c r="K13" s="173">
        <v>11</v>
      </c>
      <c r="L13" s="187">
        <f t="shared" si="3"/>
        <v>0</v>
      </c>
      <c r="M13" s="175">
        <v>0</v>
      </c>
      <c r="N13" s="173">
        <v>11</v>
      </c>
      <c r="O13" s="187">
        <f t="shared" si="0"/>
        <v>0</v>
      </c>
      <c r="P13" s="175">
        <v>0</v>
      </c>
      <c r="Q13" s="173">
        <v>6</v>
      </c>
      <c r="R13" s="187">
        <f t="shared" si="4"/>
        <v>0</v>
      </c>
      <c r="S13" s="188">
        <f t="shared" si="2"/>
        <v>0</v>
      </c>
      <c r="T13" s="154">
        <v>0</v>
      </c>
      <c r="U13" s="189">
        <f t="shared" si="5"/>
        <v>0</v>
      </c>
      <c r="V13" s="154">
        <v>0</v>
      </c>
      <c r="W13" s="154">
        <v>0</v>
      </c>
      <c r="X13" s="189">
        <f t="shared" si="6"/>
        <v>0</v>
      </c>
    </row>
    <row r="14" spans="1:24" ht="14.25" customHeight="1" x14ac:dyDescent="0.2">
      <c r="A14" s="177" t="s">
        <v>160</v>
      </c>
      <c r="B14" s="171" t="s">
        <v>176</v>
      </c>
      <c r="C14" s="171" t="s">
        <v>180</v>
      </c>
      <c r="D14" s="171" t="s">
        <v>177</v>
      </c>
      <c r="E14" s="171" t="s">
        <v>174</v>
      </c>
      <c r="F14" s="172" t="s">
        <v>182</v>
      </c>
      <c r="G14" s="172">
        <v>1</v>
      </c>
      <c r="H14" s="173">
        <v>30</v>
      </c>
      <c r="I14" s="176">
        <v>2</v>
      </c>
      <c r="J14" s="175">
        <v>409366.03200000001</v>
      </c>
      <c r="K14" s="173">
        <v>11</v>
      </c>
      <c r="L14" s="187">
        <f t="shared" si="3"/>
        <v>4503026.352</v>
      </c>
      <c r="M14" s="175">
        <v>442115.31456000003</v>
      </c>
      <c r="N14" s="173">
        <v>11</v>
      </c>
      <c r="O14" s="187">
        <f t="shared" si="0"/>
        <v>4863268.4601600002</v>
      </c>
      <c r="P14" s="175">
        <v>477484.53972480004</v>
      </c>
      <c r="Q14" s="173">
        <v>6</v>
      </c>
      <c r="R14" s="187">
        <f t="shared" si="4"/>
        <v>2864907.2383488002</v>
      </c>
      <c r="S14" s="188">
        <f t="shared" si="2"/>
        <v>12231202.050508801</v>
      </c>
      <c r="T14" s="154">
        <v>0</v>
      </c>
      <c r="U14" s="189">
        <f t="shared" si="5"/>
        <v>12231202.050508801</v>
      </c>
      <c r="V14" s="154">
        <v>0</v>
      </c>
      <c r="W14" s="154">
        <v>0</v>
      </c>
      <c r="X14" s="189">
        <f t="shared" si="6"/>
        <v>12231202.050508801</v>
      </c>
    </row>
    <row r="15" spans="1:24" ht="14.25" customHeight="1" x14ac:dyDescent="0.2">
      <c r="A15" s="177" t="s">
        <v>162</v>
      </c>
      <c r="B15" s="171" t="s">
        <v>176</v>
      </c>
      <c r="C15" s="171" t="s">
        <v>187</v>
      </c>
      <c r="D15" s="171" t="s">
        <v>188</v>
      </c>
      <c r="E15" s="171" t="s">
        <v>174</v>
      </c>
      <c r="F15" s="172" t="s">
        <v>189</v>
      </c>
      <c r="G15" s="172">
        <v>1</v>
      </c>
      <c r="H15" s="173">
        <v>30</v>
      </c>
      <c r="I15" s="176">
        <v>6</v>
      </c>
      <c r="J15" s="175">
        <v>2756843.352</v>
      </c>
      <c r="K15" s="173">
        <v>11</v>
      </c>
      <c r="L15" s="187">
        <f t="shared" si="3"/>
        <v>30325276.872000001</v>
      </c>
      <c r="M15" s="175">
        <v>2977390.8201600001</v>
      </c>
      <c r="N15" s="173">
        <v>11</v>
      </c>
      <c r="O15" s="187">
        <f t="shared" si="0"/>
        <v>32751299.021760002</v>
      </c>
      <c r="P15" s="175">
        <v>3215582.0857728003</v>
      </c>
      <c r="Q15" s="173">
        <v>6</v>
      </c>
      <c r="R15" s="187">
        <f>P15*Q16</f>
        <v>19293492.5146368</v>
      </c>
      <c r="S15" s="188">
        <f t="shared" si="2"/>
        <v>82370068.40839681</v>
      </c>
      <c r="T15" s="154">
        <v>0</v>
      </c>
      <c r="U15" s="189">
        <f t="shared" si="5"/>
        <v>82370068.40839681</v>
      </c>
      <c r="V15" s="154">
        <v>0</v>
      </c>
      <c r="W15" s="154">
        <v>0</v>
      </c>
      <c r="X15" s="189">
        <f t="shared" si="6"/>
        <v>82370068.40839681</v>
      </c>
    </row>
    <row r="16" spans="1:24" ht="14.25" customHeight="1" x14ac:dyDescent="0.2">
      <c r="A16" s="177" t="s">
        <v>156</v>
      </c>
      <c r="B16" s="171" t="s">
        <v>176</v>
      </c>
      <c r="C16" s="171" t="s">
        <v>172</v>
      </c>
      <c r="D16" s="171" t="s">
        <v>190</v>
      </c>
      <c r="E16" s="171" t="s">
        <v>174</v>
      </c>
      <c r="F16" s="172" t="s">
        <v>191</v>
      </c>
      <c r="G16" s="172">
        <v>1</v>
      </c>
      <c r="H16" s="173">
        <v>30</v>
      </c>
      <c r="I16" s="176">
        <v>2</v>
      </c>
      <c r="J16" s="175">
        <v>510796.48800000001</v>
      </c>
      <c r="K16" s="173">
        <v>11</v>
      </c>
      <c r="L16" s="187">
        <f t="shared" si="3"/>
        <v>5618761.3679999998</v>
      </c>
      <c r="M16" s="175">
        <v>551660.20704000001</v>
      </c>
      <c r="N16" s="173">
        <v>11</v>
      </c>
      <c r="O16" s="187">
        <f t="shared" si="0"/>
        <v>6068262.2774400003</v>
      </c>
      <c r="P16" s="175">
        <v>595793.02360319998</v>
      </c>
      <c r="Q16" s="173">
        <v>6</v>
      </c>
      <c r="R16" s="187">
        <f t="shared" ref="R16:R18" si="7">P16*Q17</f>
        <v>3574758.1416191999</v>
      </c>
      <c r="S16" s="188">
        <f t="shared" si="2"/>
        <v>15261781.787059201</v>
      </c>
      <c r="T16" s="154">
        <v>0</v>
      </c>
      <c r="U16" s="189">
        <f t="shared" ref="U16:U19" si="8">S16</f>
        <v>15261781.787059201</v>
      </c>
      <c r="V16" s="154">
        <v>0</v>
      </c>
      <c r="W16" s="154">
        <v>0</v>
      </c>
      <c r="X16" s="189">
        <f t="shared" ref="X16:X19" si="9">+T16+U16+V16+W16</f>
        <v>15261781.787059201</v>
      </c>
    </row>
    <row r="17" spans="1:24" ht="14.25" customHeight="1" x14ac:dyDescent="0.2">
      <c r="A17" s="177" t="s">
        <v>163</v>
      </c>
      <c r="B17" s="171" t="s">
        <v>176</v>
      </c>
      <c r="C17" s="171" t="s">
        <v>172</v>
      </c>
      <c r="D17" s="171" t="s">
        <v>183</v>
      </c>
      <c r="E17" s="171" t="s">
        <v>174</v>
      </c>
      <c r="F17" s="172" t="s">
        <v>192</v>
      </c>
      <c r="G17" s="172">
        <v>1</v>
      </c>
      <c r="H17" s="173">
        <v>30</v>
      </c>
      <c r="I17" s="176">
        <v>2</v>
      </c>
      <c r="J17" s="175">
        <v>918947.78399999999</v>
      </c>
      <c r="K17" s="173">
        <v>11</v>
      </c>
      <c r="L17" s="187">
        <f t="shared" si="3"/>
        <v>10108425.624</v>
      </c>
      <c r="M17" s="175">
        <v>992463.60672000004</v>
      </c>
      <c r="N17" s="173">
        <v>11</v>
      </c>
      <c r="O17" s="187">
        <f t="shared" si="0"/>
        <v>10917099.67392</v>
      </c>
      <c r="P17" s="175">
        <v>1071860.6952575999</v>
      </c>
      <c r="Q17" s="173">
        <v>6</v>
      </c>
      <c r="R17" s="187">
        <f t="shared" si="7"/>
        <v>6431164.1715455996</v>
      </c>
      <c r="S17" s="188">
        <f t="shared" si="2"/>
        <v>27456689.469465598</v>
      </c>
      <c r="T17" s="154">
        <v>0</v>
      </c>
      <c r="U17" s="189">
        <f t="shared" si="8"/>
        <v>27456689.469465598</v>
      </c>
      <c r="V17" s="154">
        <v>0</v>
      </c>
      <c r="W17" s="154">
        <v>0</v>
      </c>
      <c r="X17" s="189">
        <f t="shared" si="9"/>
        <v>27456689.469465598</v>
      </c>
    </row>
    <row r="18" spans="1:24" ht="14.25" customHeight="1" x14ac:dyDescent="0.2">
      <c r="A18" s="177" t="s">
        <v>169</v>
      </c>
      <c r="B18" s="171" t="s">
        <v>176</v>
      </c>
      <c r="C18" s="171" t="s">
        <v>193</v>
      </c>
      <c r="D18" s="171" t="s">
        <v>185</v>
      </c>
      <c r="E18" s="171" t="s">
        <v>186</v>
      </c>
      <c r="F18" s="172" t="s">
        <v>194</v>
      </c>
      <c r="G18" s="172">
        <v>1</v>
      </c>
      <c r="H18" s="173">
        <v>30</v>
      </c>
      <c r="I18" s="176">
        <v>0</v>
      </c>
      <c r="J18" s="175">
        <v>0</v>
      </c>
      <c r="K18" s="173">
        <v>11</v>
      </c>
      <c r="L18" s="187">
        <f t="shared" si="3"/>
        <v>0</v>
      </c>
      <c r="M18" s="175">
        <v>0</v>
      </c>
      <c r="N18" s="173">
        <v>11</v>
      </c>
      <c r="O18" s="187">
        <f t="shared" si="0"/>
        <v>0</v>
      </c>
      <c r="P18" s="175">
        <v>0</v>
      </c>
      <c r="Q18" s="173">
        <v>6</v>
      </c>
      <c r="R18" s="187">
        <f t="shared" si="7"/>
        <v>0</v>
      </c>
      <c r="S18" s="188">
        <f t="shared" si="2"/>
        <v>0</v>
      </c>
      <c r="T18" s="154">
        <v>0</v>
      </c>
      <c r="U18" s="189">
        <f t="shared" si="8"/>
        <v>0</v>
      </c>
      <c r="V18" s="154">
        <v>0</v>
      </c>
      <c r="W18" s="154">
        <v>0</v>
      </c>
      <c r="X18" s="189">
        <f t="shared" si="9"/>
        <v>0</v>
      </c>
    </row>
    <row r="19" spans="1:24" ht="14.25" customHeight="1" x14ac:dyDescent="0.2">
      <c r="A19" s="177" t="s">
        <v>170</v>
      </c>
      <c r="B19" s="171" t="s">
        <v>179</v>
      </c>
      <c r="C19" s="171" t="s">
        <v>195</v>
      </c>
      <c r="D19" s="171" t="s">
        <v>181</v>
      </c>
      <c r="E19" s="171" t="s">
        <v>186</v>
      </c>
      <c r="F19" s="172" t="s">
        <v>196</v>
      </c>
      <c r="G19" s="172">
        <v>1</v>
      </c>
      <c r="H19" s="173">
        <v>30</v>
      </c>
      <c r="I19" s="176">
        <v>0</v>
      </c>
      <c r="J19" s="175">
        <v>0</v>
      </c>
      <c r="K19" s="173">
        <v>11</v>
      </c>
      <c r="L19" s="187">
        <f t="shared" si="3"/>
        <v>0</v>
      </c>
      <c r="M19" s="175">
        <v>0</v>
      </c>
      <c r="N19" s="173">
        <v>11</v>
      </c>
      <c r="O19" s="187">
        <f t="shared" si="0"/>
        <v>0</v>
      </c>
      <c r="P19" s="175">
        <v>0</v>
      </c>
      <c r="Q19" s="173">
        <v>6</v>
      </c>
      <c r="R19" s="187">
        <f t="shared" si="4"/>
        <v>0</v>
      </c>
      <c r="S19" s="188">
        <f t="shared" si="2"/>
        <v>0</v>
      </c>
      <c r="T19" s="154">
        <v>0</v>
      </c>
      <c r="U19" s="189">
        <f t="shared" si="8"/>
        <v>0</v>
      </c>
      <c r="V19" s="154">
        <v>0</v>
      </c>
      <c r="W19" s="154">
        <v>0</v>
      </c>
      <c r="X19" s="189">
        <f t="shared" si="9"/>
        <v>0</v>
      </c>
    </row>
    <row r="20" spans="1:24" ht="14.25" customHeight="1" x14ac:dyDescent="0.2">
      <c r="A20" s="254" t="s">
        <v>54</v>
      </c>
      <c r="B20" s="255"/>
      <c r="C20" s="255"/>
      <c r="D20" s="255"/>
      <c r="E20" s="255"/>
      <c r="F20" s="255"/>
      <c r="G20" s="255"/>
      <c r="H20" s="255"/>
      <c r="I20" s="255"/>
      <c r="J20" s="255"/>
      <c r="K20" s="256"/>
      <c r="L20" s="190">
        <f>SUM(L8:L19)</f>
        <v>127113619.24799998</v>
      </c>
      <c r="M20" s="245"/>
      <c r="N20" s="246"/>
      <c r="O20" s="190">
        <f>SUM(O8:O19)</f>
        <v>137282708.78783998</v>
      </c>
      <c r="P20" s="245"/>
      <c r="Q20" s="246"/>
      <c r="R20" s="190">
        <f t="shared" ref="R20:W20" si="10">SUM(R8:R19)</f>
        <v>80871995.722291201</v>
      </c>
      <c r="S20" s="190">
        <f t="shared" si="10"/>
        <v>345268323.75813115</v>
      </c>
      <c r="T20" s="155">
        <f t="shared" si="10"/>
        <v>0</v>
      </c>
      <c r="U20" s="191">
        <f t="shared" si="10"/>
        <v>345268323.75813115</v>
      </c>
      <c r="V20" s="155">
        <f t="shared" si="10"/>
        <v>0</v>
      </c>
      <c r="W20" s="155">
        <f t="shared" si="10"/>
        <v>0</v>
      </c>
      <c r="X20" s="192">
        <f t="shared" si="6"/>
        <v>345268323.75813115</v>
      </c>
    </row>
    <row r="21" spans="1:24" ht="14.25" customHeight="1" x14ac:dyDescent="0.2">
      <c r="A21" s="247" t="s">
        <v>74</v>
      </c>
      <c r="B21" s="248"/>
      <c r="C21" s="248"/>
      <c r="D21" s="248"/>
      <c r="E21" s="248"/>
      <c r="F21" s="248"/>
      <c r="G21" s="248"/>
      <c r="H21" s="248"/>
      <c r="I21" s="248"/>
      <c r="J21" s="248"/>
      <c r="K21" s="178"/>
      <c r="L21" s="156"/>
      <c r="M21" s="156"/>
      <c r="N21" s="156"/>
      <c r="O21" s="156"/>
      <c r="P21" s="156"/>
      <c r="Q21" s="156"/>
      <c r="R21" s="156"/>
      <c r="S21" s="156"/>
      <c r="T21" s="156"/>
      <c r="U21" s="156"/>
      <c r="V21" s="156"/>
      <c r="W21" s="156"/>
      <c r="X21" s="156"/>
    </row>
    <row r="22" spans="1:24" ht="14.25" customHeight="1" x14ac:dyDescent="0.2">
      <c r="A22" s="249"/>
      <c r="B22" s="250"/>
      <c r="C22" s="250"/>
      <c r="D22" s="250"/>
      <c r="E22" s="250"/>
      <c r="F22" s="250"/>
      <c r="G22" s="250"/>
      <c r="H22" s="250"/>
      <c r="I22" s="250"/>
      <c r="J22" s="249"/>
      <c r="K22" s="178"/>
      <c r="L22" s="156"/>
      <c r="M22" s="156"/>
      <c r="N22" s="156"/>
      <c r="O22" s="156"/>
      <c r="P22" s="156"/>
      <c r="Q22" s="156"/>
      <c r="R22" s="156"/>
      <c r="S22" s="156"/>
      <c r="T22" s="156"/>
      <c r="U22" s="156"/>
      <c r="V22" s="156"/>
      <c r="W22" s="156"/>
      <c r="X22" s="156"/>
    </row>
    <row r="23" spans="1:24" ht="14.25" customHeight="1" x14ac:dyDescent="0.2">
      <c r="A23" s="249"/>
      <c r="B23" s="249"/>
      <c r="C23" s="249"/>
      <c r="D23" s="249"/>
      <c r="E23" s="249"/>
      <c r="F23" s="249"/>
      <c r="G23" s="249"/>
      <c r="H23" s="249"/>
      <c r="I23" s="249"/>
      <c r="J23" s="249"/>
      <c r="K23" s="178"/>
      <c r="L23" s="156"/>
      <c r="M23" s="156"/>
      <c r="N23" s="156"/>
      <c r="O23" s="156"/>
      <c r="P23" s="156"/>
      <c r="Q23" s="156"/>
      <c r="R23" s="156"/>
      <c r="S23" s="156"/>
      <c r="T23" s="156"/>
      <c r="U23" s="156"/>
      <c r="V23" s="156"/>
      <c r="W23" s="156"/>
      <c r="X23" s="156"/>
    </row>
    <row r="24" spans="1:24" ht="14.25" customHeight="1" x14ac:dyDescent="0.2">
      <c r="A24" s="179"/>
      <c r="B24" s="179"/>
      <c r="C24" s="179"/>
      <c r="D24" s="179"/>
      <c r="E24" s="179"/>
      <c r="F24" s="179"/>
      <c r="G24" s="179"/>
      <c r="H24" s="179"/>
      <c r="I24" s="179"/>
      <c r="J24" s="179"/>
      <c r="K24" s="179"/>
      <c r="L24" s="156"/>
      <c r="M24" s="156"/>
      <c r="N24" s="156"/>
      <c r="O24" s="156"/>
      <c r="P24" s="156"/>
      <c r="Q24" s="156"/>
      <c r="R24" s="156"/>
      <c r="S24" s="156"/>
      <c r="T24" s="156"/>
      <c r="U24" s="156"/>
      <c r="V24" s="156"/>
      <c r="W24" s="156"/>
      <c r="X24" s="156"/>
    </row>
    <row r="25" spans="1:24" ht="14.25" customHeight="1" x14ac:dyDescent="0.2">
      <c r="A25" s="156" t="s">
        <v>75</v>
      </c>
      <c r="B25" s="180">
        <v>1423500</v>
      </c>
      <c r="C25" s="180"/>
      <c r="D25" s="181"/>
      <c r="E25" s="156"/>
      <c r="F25" s="156"/>
      <c r="G25" s="156"/>
      <c r="H25" s="156"/>
      <c r="I25" s="156"/>
      <c r="J25" s="156"/>
      <c r="K25" s="156"/>
      <c r="L25" s="156"/>
      <c r="M25" s="156"/>
      <c r="N25" s="156"/>
      <c r="O25" s="156"/>
      <c r="P25" s="156"/>
      <c r="Q25" s="156"/>
      <c r="R25" s="156"/>
      <c r="S25" s="156"/>
      <c r="T25" s="156"/>
      <c r="U25" s="156"/>
      <c r="V25" s="156"/>
      <c r="W25" s="156"/>
      <c r="X25" s="156"/>
    </row>
    <row r="26" spans="1:24" ht="14.25" customHeight="1" x14ac:dyDescent="0.2">
      <c r="A26" s="156" t="s">
        <v>76</v>
      </c>
      <c r="B26" s="182">
        <v>0.06</v>
      </c>
      <c r="C26" s="183"/>
      <c r="D26" s="181"/>
      <c r="E26" s="156"/>
      <c r="F26" s="156"/>
      <c r="G26" s="156"/>
      <c r="H26" s="156"/>
      <c r="I26" s="156"/>
      <c r="J26" s="156"/>
      <c r="K26" s="156"/>
      <c r="L26" s="156"/>
      <c r="M26" s="156"/>
      <c r="N26" s="156"/>
      <c r="O26" s="156"/>
      <c r="P26" s="156"/>
      <c r="Q26" s="156"/>
      <c r="R26" s="156"/>
      <c r="S26" s="156"/>
      <c r="T26" s="156"/>
      <c r="U26" s="156"/>
      <c r="V26" s="156"/>
      <c r="W26" s="156"/>
      <c r="X26" s="156"/>
    </row>
    <row r="27" spans="1:24" ht="14.25" customHeight="1" x14ac:dyDescent="0.2">
      <c r="A27" s="251" t="s">
        <v>77</v>
      </c>
      <c r="B27" s="252"/>
      <c r="C27" s="252"/>
      <c r="D27" s="253"/>
      <c r="E27" s="156"/>
      <c r="F27" s="156"/>
      <c r="G27" s="156"/>
      <c r="H27" s="156"/>
      <c r="I27" s="156"/>
      <c r="J27" s="156"/>
      <c r="K27" s="156"/>
      <c r="L27" s="156"/>
      <c r="M27" s="156"/>
      <c r="N27" s="156"/>
      <c r="O27" s="156"/>
      <c r="P27" s="156"/>
      <c r="Q27" s="156"/>
      <c r="R27" s="156"/>
      <c r="S27" s="156"/>
      <c r="T27" s="156"/>
      <c r="U27" s="156"/>
      <c r="V27" s="156"/>
      <c r="W27" s="156"/>
      <c r="X27" s="156"/>
    </row>
    <row r="28" spans="1:24" ht="14.25" customHeight="1" x14ac:dyDescent="0.2">
      <c r="A28" s="184" t="s">
        <v>78</v>
      </c>
      <c r="B28" s="184" t="s">
        <v>79</v>
      </c>
      <c r="C28" s="184" t="s">
        <v>80</v>
      </c>
      <c r="D28" s="184" t="s">
        <v>81</v>
      </c>
      <c r="E28" s="156"/>
      <c r="F28" s="156"/>
      <c r="G28" s="156"/>
      <c r="H28" s="156"/>
      <c r="I28" s="156"/>
      <c r="J28" s="156"/>
      <c r="K28" s="156"/>
      <c r="L28" s="156"/>
      <c r="M28" s="156"/>
      <c r="N28" s="156"/>
      <c r="O28" s="156"/>
      <c r="P28" s="156"/>
      <c r="Q28" s="156"/>
      <c r="R28" s="156"/>
      <c r="S28" s="156"/>
      <c r="T28" s="156"/>
      <c r="U28" s="156"/>
      <c r="V28" s="156"/>
      <c r="W28" s="156"/>
      <c r="X28" s="156"/>
    </row>
    <row r="29" spans="1:24" ht="14.25" customHeight="1" x14ac:dyDescent="0.2">
      <c r="A29" s="185" t="s">
        <v>82</v>
      </c>
      <c r="B29" s="176">
        <v>1</v>
      </c>
      <c r="C29" s="185" t="s">
        <v>83</v>
      </c>
      <c r="D29" s="186">
        <f t="shared" ref="D29:D34" si="11">+B29*$B$25</f>
        <v>1423500</v>
      </c>
      <c r="E29" s="156"/>
      <c r="F29" s="156"/>
      <c r="G29" s="156"/>
      <c r="H29" s="156"/>
      <c r="I29" s="156"/>
      <c r="J29" s="156"/>
      <c r="K29" s="156"/>
      <c r="L29" s="156"/>
      <c r="M29" s="156"/>
      <c r="N29" s="156"/>
      <c r="O29" s="156"/>
      <c r="P29" s="156"/>
      <c r="Q29" s="156"/>
      <c r="R29" s="156"/>
      <c r="S29" s="156"/>
      <c r="T29" s="156"/>
      <c r="U29" s="156"/>
      <c r="V29" s="156"/>
      <c r="W29" s="156"/>
      <c r="X29" s="156"/>
    </row>
    <row r="30" spans="1:24" ht="14.25" customHeight="1" x14ac:dyDescent="0.2">
      <c r="A30" s="185" t="s">
        <v>84</v>
      </c>
      <c r="B30" s="176">
        <v>1.5</v>
      </c>
      <c r="C30" s="185" t="s">
        <v>83</v>
      </c>
      <c r="D30" s="186">
        <f t="shared" si="11"/>
        <v>2135250</v>
      </c>
      <c r="E30" s="156"/>
      <c r="F30" s="156"/>
      <c r="G30" s="156"/>
      <c r="H30" s="156"/>
      <c r="I30" s="156"/>
      <c r="J30" s="156"/>
      <c r="K30" s="156"/>
      <c r="L30" s="157"/>
      <c r="M30" s="157"/>
      <c r="N30" s="157"/>
      <c r="O30" s="157"/>
      <c r="P30" s="157"/>
      <c r="Q30" s="157"/>
      <c r="R30" s="157"/>
      <c r="S30" s="157"/>
      <c r="T30" s="157"/>
      <c r="U30" s="157"/>
      <c r="V30" s="157"/>
      <c r="W30" s="157"/>
      <c r="X30" s="156"/>
    </row>
    <row r="31" spans="1:24" ht="14.25" customHeight="1" x14ac:dyDescent="0.2">
      <c r="A31" s="185" t="s">
        <v>85</v>
      </c>
      <c r="B31" s="176">
        <v>2.5</v>
      </c>
      <c r="C31" s="185" t="s">
        <v>83</v>
      </c>
      <c r="D31" s="186">
        <f t="shared" si="11"/>
        <v>3558750</v>
      </c>
      <c r="E31" s="156"/>
      <c r="F31" s="156"/>
      <c r="G31" s="156"/>
      <c r="H31" s="157"/>
      <c r="I31" s="156"/>
      <c r="J31" s="156"/>
      <c r="K31" s="156"/>
      <c r="L31" s="157"/>
      <c r="M31" s="157"/>
      <c r="N31" s="157"/>
      <c r="O31" s="157"/>
      <c r="P31" s="157"/>
      <c r="Q31" s="157"/>
      <c r="R31" s="157"/>
      <c r="S31" s="157"/>
      <c r="T31" s="157"/>
      <c r="U31" s="157"/>
      <c r="V31" s="157"/>
      <c r="W31" s="157"/>
      <c r="X31" s="156"/>
    </row>
    <row r="32" spans="1:24" ht="14.25" customHeight="1" x14ac:dyDescent="0.2">
      <c r="A32" s="185" t="s">
        <v>86</v>
      </c>
      <c r="B32" s="176">
        <v>3.5</v>
      </c>
      <c r="C32" s="185" t="s">
        <v>83</v>
      </c>
      <c r="D32" s="186">
        <f t="shared" si="11"/>
        <v>4982250</v>
      </c>
      <c r="E32" s="156"/>
      <c r="F32" s="180"/>
      <c r="G32" s="180"/>
      <c r="H32" s="157"/>
      <c r="I32" s="180"/>
      <c r="J32" s="156"/>
      <c r="K32" s="156"/>
      <c r="L32" s="157"/>
      <c r="M32" s="157"/>
      <c r="N32" s="157"/>
      <c r="O32" s="157"/>
      <c r="P32" s="157"/>
      <c r="Q32" s="157"/>
      <c r="R32" s="157"/>
      <c r="S32" s="157"/>
      <c r="T32" s="157"/>
      <c r="U32" s="157"/>
      <c r="V32" s="157"/>
      <c r="W32" s="157"/>
      <c r="X32" s="156"/>
    </row>
    <row r="33" spans="1:24" ht="14.25" customHeight="1" x14ac:dyDescent="0.2">
      <c r="A33" s="185" t="s">
        <v>87</v>
      </c>
      <c r="B33" s="176">
        <v>5</v>
      </c>
      <c r="C33" s="185" t="s">
        <v>83</v>
      </c>
      <c r="D33" s="186">
        <f t="shared" si="11"/>
        <v>7117500</v>
      </c>
      <c r="E33" s="156"/>
      <c r="F33" s="156"/>
      <c r="G33" s="156"/>
      <c r="H33" s="156"/>
      <c r="I33" s="156"/>
      <c r="J33" s="156"/>
      <c r="K33" s="156"/>
      <c r="L33" s="157"/>
      <c r="M33" s="157"/>
      <c r="N33" s="157"/>
      <c r="O33" s="157"/>
      <c r="P33" s="157"/>
      <c r="Q33" s="157"/>
      <c r="R33" s="157"/>
      <c r="S33" s="157"/>
      <c r="T33" s="157"/>
      <c r="U33" s="157"/>
      <c r="V33" s="157"/>
      <c r="W33" s="157"/>
      <c r="X33" s="156"/>
    </row>
    <row r="34" spans="1:24" ht="14.25" customHeight="1" x14ac:dyDescent="0.2">
      <c r="A34" s="185" t="s">
        <v>88</v>
      </c>
      <c r="B34" s="176">
        <v>5.5</v>
      </c>
      <c r="C34" s="185" t="s">
        <v>83</v>
      </c>
      <c r="D34" s="186">
        <f t="shared" si="11"/>
        <v>7829250</v>
      </c>
      <c r="E34" s="156"/>
      <c r="F34" s="156"/>
      <c r="G34" s="156"/>
      <c r="H34" s="156"/>
      <c r="I34" s="156"/>
      <c r="J34" s="156"/>
      <c r="K34" s="156"/>
      <c r="L34" s="157"/>
      <c r="M34" s="157"/>
      <c r="N34" s="157"/>
      <c r="O34" s="157"/>
      <c r="P34" s="157"/>
      <c r="Q34" s="157"/>
      <c r="R34" s="157"/>
      <c r="S34" s="157"/>
      <c r="T34" s="157"/>
      <c r="U34" s="157"/>
      <c r="V34" s="157"/>
      <c r="W34" s="157"/>
      <c r="X34" s="156"/>
    </row>
    <row r="35" spans="1:24" ht="14.25" customHeight="1" x14ac:dyDescent="0.2"/>
    <row r="36" spans="1:24" ht="14.25" customHeight="1" x14ac:dyDescent="0.2"/>
    <row r="37" spans="1:24" ht="14.25" customHeight="1" x14ac:dyDescent="0.2"/>
  </sheetData>
  <sheetProtection algorithmName="SHA-512" hashValue="fq7nlA4b2XmEVC/tAWSVX21TXxLwTXvtnq2Xk9XjxzMOFGrDGGMp5ExWeEXaAVZZ0WNNPctLYZ9JAy75zt/UhA==" saltValue="rbsR+tlKU7Hp5U6+V1kPPQ==" spinCount="100000" sheet="1" objects="1" scenarios="1"/>
  <mergeCells count="22">
    <mergeCell ref="A5:I5"/>
    <mergeCell ref="X6:X7"/>
    <mergeCell ref="M6:O6"/>
    <mergeCell ref="P6:R6"/>
    <mergeCell ref="S6:S7"/>
    <mergeCell ref="T6:U6"/>
    <mergeCell ref="V6:W6"/>
    <mergeCell ref="F6:F7"/>
    <mergeCell ref="G6:G7"/>
    <mergeCell ref="H6:H7"/>
    <mergeCell ref="I6:I7"/>
    <mergeCell ref="J6:L6"/>
    <mergeCell ref="A6:A7"/>
    <mergeCell ref="B6:B7"/>
    <mergeCell ref="C6:C7"/>
    <mergeCell ref="D6:D7"/>
    <mergeCell ref="E6:E7"/>
    <mergeCell ref="M20:N20"/>
    <mergeCell ref="P20:Q20"/>
    <mergeCell ref="A21:J23"/>
    <mergeCell ref="A27:D27"/>
    <mergeCell ref="A20:K20"/>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8"/>
  <sheetViews>
    <sheetView showGridLines="0" workbookViewId="0">
      <pane ySplit="7" topLeftCell="A8" activePane="bottomLeft" state="frozen"/>
      <selection pane="bottomLeft" activeCell="F18" sqref="F18"/>
    </sheetView>
    <sheetView workbookViewId="1"/>
  </sheetViews>
  <sheetFormatPr defaultColWidth="0" defaultRowHeight="15" customHeight="1" x14ac:dyDescent="0.2"/>
  <cols>
    <col min="1" max="1" width="28.140625" customWidth="1"/>
    <col min="2" max="2" width="84.28515625" customWidth="1"/>
    <col min="3" max="3" width="9.28515625" customWidth="1"/>
    <col min="4" max="4" width="13.7109375" customWidth="1"/>
    <col min="5" max="5" width="27.7109375" customWidth="1"/>
    <col min="6" max="6" width="12.28515625" customWidth="1"/>
    <col min="7" max="7" width="13.42578125" customWidth="1"/>
    <col min="8" max="8" width="13.5703125" customWidth="1"/>
    <col min="9" max="9" width="13" bestFit="1" customWidth="1"/>
    <col min="10" max="10" width="13.42578125" customWidth="1"/>
    <col min="11" max="21" width="9.28515625" hidden="1" customWidth="1"/>
    <col min="22" max="27" width="10" hidden="1" customWidth="1"/>
    <col min="28" max="16384" width="12.42578125" hidden="1"/>
  </cols>
  <sheetData>
    <row r="1" spans="1:27" ht="15" customHeight="1" x14ac:dyDescent="0.2">
      <c r="A1" s="55" t="str">
        <f>'RESUMEN GENERAL'!A3</f>
        <v xml:space="preserve">Título del proyecto:   </v>
      </c>
      <c r="B1" s="158" t="str" cm="1">
        <f t="array" ref="B1:J1">'RESUMEN GENERAL'!B3:J3</f>
        <v xml:space="preserve">Funciones evolutivas del habla dirigida a bebés: Impacto en la atención, las preferencias auditivas y el desarrollo lingüístico y musical temprano </v>
      </c>
      <c r="C1" s="159">
        <v>0</v>
      </c>
      <c r="D1" s="159">
        <v>0</v>
      </c>
      <c r="E1" s="159">
        <v>0</v>
      </c>
      <c r="F1" s="159">
        <v>0</v>
      </c>
      <c r="G1" s="159">
        <v>0</v>
      </c>
      <c r="H1" s="159">
        <v>0</v>
      </c>
      <c r="I1" s="159">
        <v>0</v>
      </c>
      <c r="J1" s="159">
        <v>0</v>
      </c>
    </row>
    <row r="2" spans="1:27" s="159" customFormat="1" ht="15" customHeight="1" x14ac:dyDescent="0.2">
      <c r="A2" s="196" t="str">
        <f>'RESUMEN GENERAL'!A4</f>
        <v xml:space="preserve">Investigador Principal: </v>
      </c>
      <c r="B2" t="str" cm="1">
        <f t="array" ref="B2:J2">'RESUMEN GENERAL'!B4:J4</f>
        <v>Juan David Leongómez Peña</v>
      </c>
      <c r="C2" s="159">
        <v>0</v>
      </c>
      <c r="D2" s="159">
        <v>0</v>
      </c>
      <c r="E2" s="159">
        <v>0</v>
      </c>
      <c r="F2" s="159">
        <v>0</v>
      </c>
      <c r="G2" s="159">
        <v>0</v>
      </c>
      <c r="H2" s="159">
        <v>0</v>
      </c>
      <c r="I2" s="159">
        <v>0</v>
      </c>
      <c r="J2" s="159">
        <v>0</v>
      </c>
    </row>
    <row r="4" spans="1:27" ht="15" customHeight="1" x14ac:dyDescent="0.2">
      <c r="A4" s="55" t="s">
        <v>89</v>
      </c>
    </row>
    <row r="5" spans="1:27" ht="98.25" customHeight="1" x14ac:dyDescent="0.2">
      <c r="A5" s="267" t="s">
        <v>149</v>
      </c>
      <c r="B5" s="268"/>
      <c r="C5" s="268"/>
      <c r="D5" s="268"/>
      <c r="E5" s="268"/>
      <c r="F5" s="268"/>
      <c r="G5" s="268"/>
      <c r="H5" s="268"/>
      <c r="I5" s="268"/>
    </row>
    <row r="6" spans="1:27" ht="27" customHeight="1" x14ac:dyDescent="0.2">
      <c r="A6" s="269" t="s">
        <v>90</v>
      </c>
      <c r="B6" s="269" t="s">
        <v>91</v>
      </c>
      <c r="C6" s="269" t="s">
        <v>92</v>
      </c>
      <c r="D6" s="269" t="s">
        <v>93</v>
      </c>
      <c r="E6" s="271" t="s">
        <v>32</v>
      </c>
      <c r="F6" s="272"/>
      <c r="G6" s="271" t="s">
        <v>69</v>
      </c>
      <c r="H6" s="272"/>
      <c r="I6" s="273" t="s">
        <v>54</v>
      </c>
    </row>
    <row r="7" spans="1:27" ht="42" customHeight="1" x14ac:dyDescent="0.2">
      <c r="A7" s="270"/>
      <c r="B7" s="270"/>
      <c r="C7" s="270"/>
      <c r="D7" s="270"/>
      <c r="E7" s="49" t="s">
        <v>94</v>
      </c>
      <c r="F7" s="1" t="s">
        <v>40</v>
      </c>
      <c r="G7" s="1" t="s">
        <v>41</v>
      </c>
      <c r="H7" s="1" t="s">
        <v>40</v>
      </c>
      <c r="I7" s="274"/>
    </row>
    <row r="8" spans="1:27" ht="127.5" x14ac:dyDescent="0.2">
      <c r="A8" s="9" t="s">
        <v>197</v>
      </c>
      <c r="B8" s="9" t="s">
        <v>198</v>
      </c>
      <c r="C8" s="7">
        <v>1</v>
      </c>
      <c r="D8" s="305">
        <v>239000000</v>
      </c>
      <c r="E8" s="14">
        <f>D8</f>
        <v>239000000</v>
      </c>
      <c r="F8" s="14">
        <v>0</v>
      </c>
      <c r="G8" s="14">
        <v>0</v>
      </c>
      <c r="H8" s="14">
        <v>0</v>
      </c>
      <c r="I8" s="13">
        <f>SUM(E8:H8)</f>
        <v>239000000</v>
      </c>
      <c r="J8" s="67"/>
      <c r="K8" s="67"/>
      <c r="L8" s="67"/>
      <c r="M8" s="67"/>
      <c r="N8" s="67"/>
      <c r="O8" s="67"/>
      <c r="P8" s="67"/>
      <c r="Q8" s="67"/>
      <c r="R8" s="67"/>
      <c r="S8" s="67"/>
      <c r="T8" s="67"/>
      <c r="U8" s="67"/>
      <c r="V8" s="67"/>
      <c r="W8" s="67"/>
      <c r="X8" s="67"/>
      <c r="Y8" s="67"/>
      <c r="Z8" s="67"/>
      <c r="AA8" s="67"/>
    </row>
    <row r="9" spans="1:27" ht="12.75" customHeight="1" x14ac:dyDescent="0.2">
      <c r="A9" s="10"/>
      <c r="B9" s="9"/>
      <c r="C9" s="11"/>
      <c r="D9" s="12">
        <v>0</v>
      </c>
      <c r="E9" s="14">
        <v>0</v>
      </c>
      <c r="F9" s="14">
        <v>0</v>
      </c>
      <c r="G9" s="14">
        <v>0</v>
      </c>
      <c r="H9" s="14">
        <v>0</v>
      </c>
      <c r="I9" s="13">
        <f t="shared" ref="I9:I17" si="0">SUM(E9:H9)</f>
        <v>0</v>
      </c>
      <c r="J9" s="67"/>
      <c r="K9" s="67"/>
      <c r="L9" s="67"/>
      <c r="M9" s="67"/>
      <c r="N9" s="67"/>
      <c r="O9" s="67"/>
      <c r="P9" s="67"/>
      <c r="Q9" s="67"/>
      <c r="R9" s="67"/>
      <c r="S9" s="67"/>
      <c r="T9" s="67"/>
      <c r="U9" s="67"/>
      <c r="V9" s="67"/>
      <c r="W9" s="67"/>
      <c r="X9" s="67"/>
      <c r="Y9" s="67"/>
      <c r="Z9" s="67"/>
      <c r="AA9" s="67"/>
    </row>
    <row r="10" spans="1:27" ht="12.75" customHeight="1" x14ac:dyDescent="0.2">
      <c r="A10" s="10"/>
      <c r="B10" s="10"/>
      <c r="C10" s="10"/>
      <c r="D10" s="12">
        <v>0</v>
      </c>
      <c r="E10" s="14">
        <v>0</v>
      </c>
      <c r="F10" s="14">
        <v>0</v>
      </c>
      <c r="G10" s="14">
        <v>0</v>
      </c>
      <c r="H10" s="14">
        <v>0</v>
      </c>
      <c r="I10" s="13">
        <f t="shared" si="0"/>
        <v>0</v>
      </c>
      <c r="J10" s="67"/>
      <c r="K10" s="67"/>
      <c r="L10" s="67"/>
      <c r="M10" s="67"/>
      <c r="N10" s="67"/>
      <c r="O10" s="67"/>
      <c r="P10" s="67"/>
      <c r="Q10" s="67"/>
      <c r="R10" s="67"/>
      <c r="S10" s="67"/>
      <c r="T10" s="67"/>
      <c r="U10" s="67"/>
      <c r="V10" s="67"/>
      <c r="W10" s="67"/>
      <c r="X10" s="67"/>
      <c r="Y10" s="67"/>
      <c r="Z10" s="67"/>
      <c r="AA10" s="67"/>
    </row>
    <row r="11" spans="1:27" ht="12.75" customHeight="1" x14ac:dyDescent="0.2">
      <c r="A11" s="10"/>
      <c r="B11" s="10"/>
      <c r="C11" s="10"/>
      <c r="D11" s="12">
        <v>0</v>
      </c>
      <c r="E11" s="14">
        <v>0</v>
      </c>
      <c r="F11" s="14">
        <v>0</v>
      </c>
      <c r="G11" s="14">
        <v>0</v>
      </c>
      <c r="H11" s="14">
        <v>0</v>
      </c>
      <c r="I11" s="13">
        <f t="shared" si="0"/>
        <v>0</v>
      </c>
      <c r="J11" s="67"/>
      <c r="K11" s="67"/>
      <c r="L11" s="67"/>
      <c r="M11" s="67"/>
      <c r="N11" s="67"/>
      <c r="O11" s="67"/>
      <c r="P11" s="67"/>
      <c r="Q11" s="67"/>
      <c r="R11" s="67"/>
      <c r="S11" s="67"/>
      <c r="T11" s="67"/>
      <c r="U11" s="67"/>
      <c r="V11" s="67"/>
      <c r="W11" s="67"/>
      <c r="X11" s="67"/>
      <c r="Y11" s="67"/>
      <c r="Z11" s="67"/>
      <c r="AA11" s="67"/>
    </row>
    <row r="12" spans="1:27" ht="12.75" customHeight="1" x14ac:dyDescent="0.2">
      <c r="A12" s="10"/>
      <c r="B12" s="10"/>
      <c r="C12" s="10"/>
      <c r="D12" s="12">
        <v>0</v>
      </c>
      <c r="E12" s="14">
        <v>0</v>
      </c>
      <c r="F12" s="14">
        <v>0</v>
      </c>
      <c r="G12" s="14">
        <v>0</v>
      </c>
      <c r="H12" s="14">
        <v>0</v>
      </c>
      <c r="I12" s="13">
        <f t="shared" si="0"/>
        <v>0</v>
      </c>
      <c r="J12" s="69"/>
      <c r="K12" s="69"/>
      <c r="L12" s="69"/>
      <c r="M12" s="69"/>
      <c r="N12" s="69"/>
      <c r="O12" s="69"/>
      <c r="P12" s="69"/>
      <c r="Q12" s="69"/>
      <c r="R12" s="69"/>
      <c r="S12" s="69"/>
      <c r="T12" s="69"/>
      <c r="U12" s="69"/>
      <c r="V12" s="69"/>
      <c r="W12" s="69"/>
      <c r="X12" s="69"/>
      <c r="Y12" s="69"/>
      <c r="Z12" s="69"/>
      <c r="AA12" s="69"/>
    </row>
    <row r="13" spans="1:27" ht="12.75" customHeight="1" x14ac:dyDescent="0.2">
      <c r="A13" s="10"/>
      <c r="B13" s="10"/>
      <c r="C13" s="10"/>
      <c r="D13" s="12">
        <v>0</v>
      </c>
      <c r="E13" s="14">
        <v>0</v>
      </c>
      <c r="F13" s="14">
        <v>0</v>
      </c>
      <c r="G13" s="14">
        <v>0</v>
      </c>
      <c r="H13" s="14">
        <v>0</v>
      </c>
      <c r="I13" s="13">
        <f t="shared" si="0"/>
        <v>0</v>
      </c>
      <c r="J13" s="69"/>
      <c r="K13" s="69"/>
      <c r="L13" s="69"/>
      <c r="M13" s="69"/>
      <c r="N13" s="69"/>
      <c r="O13" s="69"/>
      <c r="P13" s="69"/>
      <c r="Q13" s="69"/>
      <c r="R13" s="69"/>
      <c r="S13" s="69"/>
      <c r="T13" s="69"/>
      <c r="U13" s="69"/>
      <c r="V13" s="69"/>
      <c r="W13" s="69"/>
      <c r="X13" s="69"/>
      <c r="Y13" s="69"/>
      <c r="Z13" s="69"/>
      <c r="AA13" s="69"/>
    </row>
    <row r="14" spans="1:27" ht="12.75" customHeight="1" x14ac:dyDescent="0.2">
      <c r="A14" s="10"/>
      <c r="B14" s="10"/>
      <c r="C14" s="10"/>
      <c r="D14" s="12">
        <v>0</v>
      </c>
      <c r="E14" s="14">
        <v>0</v>
      </c>
      <c r="F14" s="14">
        <v>0</v>
      </c>
      <c r="G14" s="14">
        <v>0</v>
      </c>
      <c r="H14" s="14">
        <v>0</v>
      </c>
      <c r="I14" s="13">
        <f t="shared" si="0"/>
        <v>0</v>
      </c>
      <c r="J14" s="69"/>
      <c r="K14" s="69"/>
      <c r="L14" s="69"/>
      <c r="M14" s="69"/>
      <c r="N14" s="69"/>
      <c r="O14" s="69"/>
      <c r="P14" s="69"/>
      <c r="Q14" s="69"/>
      <c r="R14" s="69"/>
      <c r="S14" s="69"/>
      <c r="T14" s="69"/>
      <c r="U14" s="69"/>
      <c r="V14" s="69"/>
      <c r="W14" s="69"/>
      <c r="X14" s="69"/>
      <c r="Y14" s="69"/>
      <c r="Z14" s="69"/>
      <c r="AA14" s="69"/>
    </row>
    <row r="15" spans="1:27" ht="12.75" customHeight="1" x14ac:dyDescent="0.2">
      <c r="A15" s="10"/>
      <c r="B15" s="10"/>
      <c r="C15" s="10"/>
      <c r="D15" s="12">
        <v>0</v>
      </c>
      <c r="E15" s="14">
        <v>0</v>
      </c>
      <c r="F15" s="14">
        <v>0</v>
      </c>
      <c r="G15" s="14">
        <v>0</v>
      </c>
      <c r="H15" s="14">
        <v>0</v>
      </c>
      <c r="I15" s="13">
        <f t="shared" si="0"/>
        <v>0</v>
      </c>
      <c r="J15" s="69"/>
      <c r="K15" s="69"/>
      <c r="L15" s="69"/>
      <c r="M15" s="69"/>
      <c r="N15" s="69"/>
      <c r="O15" s="69"/>
      <c r="P15" s="69"/>
      <c r="Q15" s="69"/>
      <c r="R15" s="69"/>
      <c r="S15" s="69"/>
      <c r="T15" s="69"/>
      <c r="U15" s="69"/>
      <c r="V15" s="69"/>
      <c r="W15" s="69"/>
      <c r="X15" s="69"/>
      <c r="Y15" s="69"/>
      <c r="Z15" s="69"/>
      <c r="AA15" s="69"/>
    </row>
    <row r="16" spans="1:27" ht="12.75" customHeight="1" x14ac:dyDescent="0.2">
      <c r="A16" s="10"/>
      <c r="B16" s="10"/>
      <c r="C16" s="10"/>
      <c r="D16" s="12">
        <v>0</v>
      </c>
      <c r="E16" s="14">
        <v>0</v>
      </c>
      <c r="F16" s="14">
        <v>0</v>
      </c>
      <c r="G16" s="14">
        <v>0</v>
      </c>
      <c r="H16" s="14">
        <v>0</v>
      </c>
      <c r="I16" s="13">
        <f t="shared" si="0"/>
        <v>0</v>
      </c>
      <c r="J16" s="69"/>
      <c r="K16" s="69"/>
      <c r="L16" s="69"/>
      <c r="M16" s="69"/>
      <c r="N16" s="69"/>
      <c r="O16" s="69"/>
      <c r="P16" s="69"/>
      <c r="Q16" s="69"/>
      <c r="R16" s="69"/>
      <c r="S16" s="69"/>
      <c r="T16" s="69"/>
      <c r="U16" s="69"/>
      <c r="V16" s="69"/>
      <c r="W16" s="69"/>
      <c r="X16" s="69"/>
      <c r="Y16" s="69"/>
      <c r="Z16" s="69"/>
      <c r="AA16" s="69"/>
    </row>
    <row r="17" spans="1:27" ht="12.75" customHeight="1" x14ac:dyDescent="0.2">
      <c r="A17" s="10"/>
      <c r="B17" s="10"/>
      <c r="C17" s="9"/>
      <c r="D17" s="12">
        <v>0</v>
      </c>
      <c r="E17" s="14">
        <v>0</v>
      </c>
      <c r="F17" s="14">
        <v>0</v>
      </c>
      <c r="G17" s="14">
        <v>0</v>
      </c>
      <c r="H17" s="14">
        <v>0</v>
      </c>
      <c r="I17" s="13">
        <f t="shared" si="0"/>
        <v>0</v>
      </c>
      <c r="J17" s="69"/>
      <c r="K17" s="69"/>
      <c r="L17" s="69"/>
      <c r="M17" s="69"/>
      <c r="N17" s="69"/>
      <c r="O17" s="69"/>
      <c r="P17" s="69"/>
      <c r="Q17" s="69"/>
      <c r="R17" s="69"/>
      <c r="S17" s="69"/>
      <c r="T17" s="69"/>
      <c r="U17" s="69"/>
      <c r="V17" s="69"/>
      <c r="W17" s="69"/>
      <c r="X17" s="69"/>
      <c r="Y17" s="69"/>
      <c r="Z17" s="69"/>
      <c r="AA17" s="69"/>
    </row>
    <row r="18" spans="1:27" ht="12.75" customHeight="1" x14ac:dyDescent="0.2">
      <c r="A18" s="264" t="s">
        <v>54</v>
      </c>
      <c r="B18" s="265"/>
      <c r="C18" s="265"/>
      <c r="D18" s="266"/>
      <c r="E18" s="194">
        <f t="shared" ref="E18:I18" si="1">SUM(E8:E17)</f>
        <v>239000000</v>
      </c>
      <c r="F18" s="194">
        <f t="shared" si="1"/>
        <v>0</v>
      </c>
      <c r="G18" s="194">
        <f t="shared" si="1"/>
        <v>0</v>
      </c>
      <c r="H18" s="194">
        <f t="shared" si="1"/>
        <v>0</v>
      </c>
      <c r="I18" s="195">
        <f t="shared" si="1"/>
        <v>239000000</v>
      </c>
      <c r="J18" s="67"/>
      <c r="K18" s="67"/>
      <c r="L18" s="67"/>
      <c r="M18" s="67"/>
      <c r="N18" s="67"/>
      <c r="O18" s="67"/>
      <c r="P18" s="67"/>
      <c r="Q18" s="67"/>
      <c r="R18" s="67"/>
      <c r="S18" s="67"/>
      <c r="T18" s="67"/>
      <c r="U18" s="67"/>
      <c r="V18" s="67"/>
      <c r="W18" s="67"/>
      <c r="X18" s="67"/>
      <c r="Y18" s="67"/>
      <c r="Z18" s="67"/>
      <c r="AA18" s="67"/>
    </row>
    <row r="19" spans="1:27" ht="12.75" customHeight="1" x14ac:dyDescent="0.2">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c r="AA19" s="67"/>
    </row>
    <row r="20" spans="1:27" ht="12" customHeight="1" x14ac:dyDescent="0.2">
      <c r="A20" s="68" t="s">
        <v>153</v>
      </c>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row>
    <row r="21" spans="1:27" ht="12" customHeight="1" x14ac:dyDescent="0.2">
      <c r="A21" s="17"/>
      <c r="B21" s="67"/>
      <c r="C21" s="67"/>
      <c r="D21" s="67"/>
      <c r="E21" s="67"/>
      <c r="F21" s="67"/>
      <c r="G21" s="67"/>
      <c r="H21" s="67"/>
      <c r="I21" s="67"/>
      <c r="J21" s="67"/>
      <c r="K21" s="67"/>
      <c r="L21" s="67"/>
      <c r="M21" s="67"/>
      <c r="N21" s="67"/>
      <c r="O21" s="67"/>
      <c r="P21" s="67"/>
      <c r="Q21" s="67"/>
      <c r="R21" s="67"/>
      <c r="S21" s="67"/>
      <c r="T21" s="67"/>
      <c r="U21" s="67"/>
      <c r="V21" s="67"/>
      <c r="W21" s="67"/>
      <c r="X21" s="67"/>
      <c r="Y21" s="67"/>
      <c r="Z21" s="67"/>
      <c r="AA21" s="67"/>
    </row>
    <row r="22" spans="1:27" ht="12.75" customHeight="1" x14ac:dyDescent="0.2">
      <c r="A22" s="18"/>
      <c r="B22" s="60"/>
      <c r="C22" s="60"/>
      <c r="D22" s="60"/>
      <c r="E22" s="60"/>
      <c r="F22" s="60"/>
      <c r="G22" s="60"/>
      <c r="H22" s="60"/>
      <c r="I22" s="67"/>
      <c r="J22" s="67"/>
      <c r="K22" s="67"/>
      <c r="L22" s="67"/>
      <c r="M22" s="67"/>
      <c r="N22" s="67"/>
      <c r="O22" s="67"/>
      <c r="P22" s="67"/>
      <c r="Q22" s="67"/>
      <c r="R22" s="67"/>
      <c r="S22" s="67"/>
      <c r="T22" s="67"/>
      <c r="U22" s="67"/>
      <c r="V22" s="67"/>
      <c r="W22" s="67"/>
      <c r="X22" s="67"/>
      <c r="Y22" s="67"/>
      <c r="Z22" s="67"/>
      <c r="AA22" s="67"/>
    </row>
    <row r="23" spans="1:27" ht="12.75" customHeight="1" x14ac:dyDescent="0.2">
      <c r="A23" s="18"/>
      <c r="B23" s="60"/>
      <c r="C23" s="60"/>
      <c r="D23" s="60"/>
      <c r="E23" s="60"/>
      <c r="F23" s="60"/>
      <c r="G23" s="60"/>
      <c r="H23" s="60"/>
      <c r="I23" s="67"/>
      <c r="J23" s="67"/>
      <c r="K23" s="67"/>
      <c r="L23" s="67"/>
      <c r="M23" s="67"/>
      <c r="N23" s="67"/>
      <c r="O23" s="67"/>
      <c r="P23" s="67"/>
      <c r="Q23" s="67"/>
      <c r="R23" s="67"/>
      <c r="S23" s="67"/>
      <c r="T23" s="67"/>
      <c r="U23" s="67"/>
      <c r="V23" s="67"/>
      <c r="W23" s="67"/>
      <c r="X23" s="67"/>
      <c r="Y23" s="67"/>
      <c r="Z23" s="67"/>
      <c r="AA23" s="67"/>
    </row>
    <row r="24" spans="1:27" ht="12.75" customHeight="1" x14ac:dyDescent="0.2">
      <c r="A24" s="18"/>
      <c r="B24" s="60"/>
      <c r="C24" s="60"/>
      <c r="D24" s="60"/>
      <c r="E24" s="60"/>
      <c r="F24" s="60"/>
      <c r="G24" s="60"/>
      <c r="H24" s="60"/>
      <c r="I24" s="67"/>
      <c r="J24" s="67"/>
      <c r="K24" s="67"/>
      <c r="L24" s="67"/>
      <c r="M24" s="67"/>
      <c r="N24" s="67"/>
      <c r="O24" s="67"/>
      <c r="P24" s="67"/>
      <c r="Q24" s="67"/>
      <c r="R24" s="67"/>
      <c r="S24" s="67"/>
      <c r="T24" s="67"/>
      <c r="U24" s="67"/>
      <c r="V24" s="67"/>
      <c r="W24" s="67"/>
      <c r="X24" s="67"/>
      <c r="Y24" s="67"/>
      <c r="Z24" s="67"/>
      <c r="AA24" s="67"/>
    </row>
    <row r="25" spans="1:27" ht="12.75" customHeight="1" x14ac:dyDescent="0.2">
      <c r="A25" s="18"/>
      <c r="B25" s="60"/>
      <c r="C25" s="60"/>
      <c r="D25" s="60"/>
      <c r="E25" s="60"/>
      <c r="F25" s="60"/>
      <c r="G25" s="60"/>
      <c r="H25" s="60"/>
      <c r="I25" s="67"/>
      <c r="J25" s="67"/>
      <c r="K25" s="67"/>
      <c r="L25" s="67"/>
      <c r="M25" s="67"/>
      <c r="N25" s="67"/>
      <c r="O25" s="67"/>
      <c r="P25" s="67"/>
      <c r="Q25" s="67"/>
      <c r="R25" s="67"/>
      <c r="S25" s="67"/>
      <c r="T25" s="67"/>
      <c r="U25" s="67"/>
      <c r="V25" s="67"/>
      <c r="W25" s="67"/>
      <c r="X25" s="67"/>
      <c r="Y25" s="67"/>
      <c r="Z25" s="67"/>
      <c r="AA25" s="67"/>
    </row>
    <row r="26" spans="1:27" ht="12.75" customHeight="1" x14ac:dyDescent="0.2">
      <c r="A26" s="18"/>
      <c r="B26" s="60"/>
      <c r="C26" s="60"/>
      <c r="D26" s="60"/>
      <c r="E26" s="60"/>
      <c r="F26" s="60"/>
      <c r="G26" s="60"/>
      <c r="H26" s="60"/>
      <c r="I26" s="67"/>
      <c r="J26" s="67"/>
      <c r="K26" s="67"/>
      <c r="L26" s="67"/>
      <c r="M26" s="67"/>
      <c r="N26" s="67"/>
      <c r="O26" s="67"/>
      <c r="P26" s="67"/>
      <c r="Q26" s="67"/>
      <c r="R26" s="67"/>
      <c r="S26" s="67"/>
      <c r="T26" s="67"/>
      <c r="U26" s="67"/>
      <c r="V26" s="67"/>
      <c r="W26" s="67"/>
      <c r="X26" s="67"/>
      <c r="Y26" s="67"/>
      <c r="Z26" s="67"/>
      <c r="AA26" s="67"/>
    </row>
    <row r="27" spans="1:27" ht="12.75" customHeight="1" x14ac:dyDescent="0.2">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c r="AA27" s="67"/>
    </row>
    <row r="28" spans="1:27" ht="12.75" customHeight="1" x14ac:dyDescent="0.2">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row>
    <row r="29" spans="1:27" ht="12.75" customHeight="1" x14ac:dyDescent="0.2">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67"/>
    </row>
    <row r="30" spans="1:27" ht="12.75" customHeight="1" x14ac:dyDescent="0.2">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c r="AA30" s="67"/>
    </row>
    <row r="31" spans="1:27" ht="12.75" customHeight="1" x14ac:dyDescent="0.2">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67"/>
    </row>
    <row r="32" spans="1:27" ht="12.75" customHeight="1" x14ac:dyDescent="0.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c r="AA32" s="67"/>
    </row>
    <row r="33" spans="1:27" ht="12.75" customHeight="1" x14ac:dyDescent="0.2">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67"/>
    </row>
    <row r="34" spans="1:27" ht="12.75" customHeight="1" x14ac:dyDescent="0.2">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c r="AA34" s="67"/>
    </row>
    <row r="35" spans="1:27" ht="12.75" customHeight="1" x14ac:dyDescent="0.2">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row>
    <row r="36" spans="1:27" ht="12.75" customHeight="1" x14ac:dyDescent="0.2">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c r="AA36" s="67"/>
    </row>
    <row r="37" spans="1:27" ht="12.75" customHeight="1" x14ac:dyDescent="0.2">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c r="AA37" s="67"/>
    </row>
    <row r="38" spans="1:27" ht="12.75" customHeight="1" x14ac:dyDescent="0.2">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c r="AA38" s="67"/>
    </row>
    <row r="39" spans="1:27" ht="12.75" customHeight="1" x14ac:dyDescent="0.2">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c r="AA39" s="67"/>
    </row>
    <row r="40" spans="1:27" ht="12.75" customHeight="1" x14ac:dyDescent="0.2">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c r="AA40" s="67"/>
    </row>
    <row r="41" spans="1:27" ht="12.75" customHeight="1" x14ac:dyDescent="0.2">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c r="AA41" s="67"/>
    </row>
    <row r="42" spans="1:27" ht="12.75" customHeight="1" x14ac:dyDescent="0.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c r="AA42" s="67"/>
    </row>
    <row r="43" spans="1:27" ht="12.75" customHeight="1" x14ac:dyDescent="0.2">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row>
    <row r="44" spans="1:27" ht="12.75" customHeight="1" x14ac:dyDescent="0.2">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c r="AA44" s="67"/>
    </row>
    <row r="45" spans="1:27" ht="12.75" customHeight="1" x14ac:dyDescent="0.2">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c r="AA45" s="67"/>
    </row>
    <row r="46" spans="1:27" ht="12.75" customHeight="1" x14ac:dyDescent="0.2">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c r="AA46" s="67"/>
    </row>
    <row r="47" spans="1:27" ht="12.75" customHeight="1" x14ac:dyDescent="0.2">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row>
    <row r="48" spans="1:27" ht="12.75" customHeight="1" x14ac:dyDescent="0.2">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c r="AA48" s="67"/>
    </row>
    <row r="49" spans="1:27" ht="12.75" customHeight="1" x14ac:dyDescent="0.2">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c r="AA49" s="67"/>
    </row>
    <row r="50" spans="1:27" ht="12.75" customHeight="1" x14ac:dyDescent="0.2">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c r="AA50" s="67"/>
    </row>
    <row r="51" spans="1:27" ht="12.75" customHeight="1" x14ac:dyDescent="0.2">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7"/>
    </row>
    <row r="52" spans="1:27" ht="12.75" customHeight="1" x14ac:dyDescent="0.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row>
    <row r="53" spans="1:27" ht="12.75" customHeight="1" x14ac:dyDescent="0.2">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c r="AA53" s="67"/>
    </row>
    <row r="54" spans="1:27" ht="12.75" customHeight="1" x14ac:dyDescent="0.2">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c r="AA54" s="67"/>
    </row>
    <row r="55" spans="1:27" ht="12.75" customHeight="1" x14ac:dyDescent="0.2">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c r="AA55" s="67"/>
    </row>
    <row r="56" spans="1:27" ht="12.75" customHeight="1" x14ac:dyDescent="0.2">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c r="AA56" s="67"/>
    </row>
    <row r="57" spans="1:27" ht="12.75" customHeight="1" x14ac:dyDescent="0.2">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c r="AA57" s="67"/>
    </row>
    <row r="58" spans="1:27" ht="12.75" customHeight="1" x14ac:dyDescent="0.2">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c r="AA58" s="67"/>
    </row>
    <row r="59" spans="1:27" ht="12.75" customHeight="1" x14ac:dyDescent="0.2">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c r="AA59" s="67"/>
    </row>
    <row r="60" spans="1:27" ht="12.75" customHeight="1" x14ac:dyDescent="0.2">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c r="AA60" s="67"/>
    </row>
    <row r="61" spans="1:27" ht="12.75" customHeight="1" x14ac:dyDescent="0.2">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row>
    <row r="62" spans="1:27" ht="12.75" customHeight="1" x14ac:dyDescent="0.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c r="AA62" s="67"/>
    </row>
    <row r="63" spans="1:27" ht="12.75" customHeight="1" x14ac:dyDescent="0.2">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row>
    <row r="64" spans="1:27" ht="12.75" customHeight="1" x14ac:dyDescent="0.2">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c r="AA64" s="67"/>
    </row>
    <row r="65" spans="1:27" ht="12.75" customHeight="1" x14ac:dyDescent="0.2">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7"/>
    </row>
    <row r="66" spans="1:27" ht="12.75" customHeight="1" x14ac:dyDescent="0.2">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7"/>
    </row>
    <row r="67" spans="1:27" ht="12.75" customHeight="1" x14ac:dyDescent="0.2">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row>
    <row r="68" spans="1:27" ht="12.75" customHeight="1" x14ac:dyDescent="0.2">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c r="AA68" s="67"/>
    </row>
    <row r="69" spans="1:27" ht="12.75" customHeight="1" x14ac:dyDescent="0.2">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row>
    <row r="70" spans="1:27" ht="12.75" customHeight="1" x14ac:dyDescent="0.2">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c r="AA70" s="67"/>
    </row>
    <row r="71" spans="1:27" ht="12.75" customHeight="1" x14ac:dyDescent="0.2">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7"/>
    </row>
    <row r="72" spans="1:27" ht="12.75" customHeight="1" x14ac:dyDescent="0.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c r="AA72" s="67"/>
    </row>
    <row r="73" spans="1:27" ht="12.75" customHeight="1" x14ac:dyDescent="0.2">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7"/>
    </row>
    <row r="74" spans="1:27" ht="12.75" customHeight="1" x14ac:dyDescent="0.2">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67"/>
    </row>
    <row r="75" spans="1:27" ht="12.75" customHeight="1" x14ac:dyDescent="0.2">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row>
    <row r="76" spans="1:27" ht="12.75" customHeight="1" x14ac:dyDescent="0.2">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row>
    <row r="77" spans="1:27" ht="12.75" customHeight="1" x14ac:dyDescent="0.2">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7"/>
    </row>
    <row r="78" spans="1:27" ht="12.75" customHeight="1" x14ac:dyDescent="0.2">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row>
    <row r="79" spans="1:27" ht="12.75" customHeight="1" x14ac:dyDescent="0.2">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row>
    <row r="80" spans="1:27" ht="12.75" customHeight="1" x14ac:dyDescent="0.2">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row>
    <row r="81" spans="1:27" ht="12.75" customHeight="1" x14ac:dyDescent="0.2">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row>
    <row r="82" spans="1:27" ht="12.75" customHeight="1" x14ac:dyDescent="0.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row>
    <row r="83" spans="1:27" ht="12.75" customHeight="1" x14ac:dyDescent="0.2">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7"/>
    </row>
    <row r="84" spans="1:27" ht="12.75" customHeight="1" x14ac:dyDescent="0.2">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row>
    <row r="85" spans="1:27" ht="12.75" customHeight="1" x14ac:dyDescent="0.2">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7"/>
    </row>
    <row r="86" spans="1:27" ht="12.75" customHeight="1" x14ac:dyDescent="0.2">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row>
    <row r="87" spans="1:27" ht="12.75" customHeight="1" x14ac:dyDescent="0.2">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7"/>
    </row>
    <row r="88" spans="1:27" ht="12.75" customHeight="1" x14ac:dyDescent="0.2">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7"/>
    </row>
    <row r="89" spans="1:27" ht="12.75" customHeight="1" x14ac:dyDescent="0.2">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row>
    <row r="90" spans="1:27" ht="12.75" customHeight="1" x14ac:dyDescent="0.2">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7"/>
    </row>
    <row r="91" spans="1:27" ht="12.75" customHeight="1" x14ac:dyDescent="0.2">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row>
    <row r="92" spans="1:27" ht="12.75" customHeight="1" x14ac:dyDescent="0.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row>
    <row r="93" spans="1:27" ht="12.75" customHeight="1" x14ac:dyDescent="0.2">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7"/>
    </row>
    <row r="94" spans="1:27" ht="12.75" customHeight="1" x14ac:dyDescent="0.2">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row>
    <row r="95" spans="1:27" ht="12.75" customHeight="1" x14ac:dyDescent="0.2">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row>
    <row r="96" spans="1:27" ht="12.75" customHeight="1" x14ac:dyDescent="0.2">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row>
    <row r="97" spans="1:27" ht="12.75" customHeight="1" x14ac:dyDescent="0.2">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row>
    <row r="98" spans="1:27" ht="12.75" customHeight="1" x14ac:dyDescent="0.2">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row>
    <row r="99" spans="1:27" ht="12.75" customHeight="1" x14ac:dyDescent="0.2">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row>
    <row r="100" spans="1:27" ht="12.75" customHeight="1" x14ac:dyDescent="0.2">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row>
    <row r="101" spans="1:27" ht="12.75" customHeight="1" x14ac:dyDescent="0.2">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row>
    <row r="102" spans="1:27" ht="12.75" customHeight="1" x14ac:dyDescent="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row>
    <row r="103" spans="1:27" ht="12.75" customHeight="1" x14ac:dyDescent="0.2">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row>
    <row r="104" spans="1:27" ht="12.75" customHeight="1" x14ac:dyDescent="0.2">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row>
    <row r="105" spans="1:27" ht="12.75" customHeight="1" x14ac:dyDescent="0.2">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row>
    <row r="106" spans="1:27" ht="12.75" customHeight="1" x14ac:dyDescent="0.2">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row>
    <row r="107" spans="1:27" ht="12.75" customHeight="1" x14ac:dyDescent="0.2">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row>
    <row r="108" spans="1:27" ht="12.75" customHeight="1" x14ac:dyDescent="0.2">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row>
    <row r="109" spans="1:27" ht="12.75" customHeight="1" x14ac:dyDescent="0.2">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row>
    <row r="110" spans="1:27" ht="12.75" customHeight="1" x14ac:dyDescent="0.2">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row>
    <row r="111" spans="1:27" ht="12.75" customHeight="1" x14ac:dyDescent="0.2">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row>
    <row r="112" spans="1:27" ht="12.75" customHeight="1" x14ac:dyDescent="0.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row>
    <row r="113" spans="1:27" ht="12.75" customHeight="1" x14ac:dyDescent="0.2">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row>
    <row r="114" spans="1:27" ht="12.75" customHeight="1" x14ac:dyDescent="0.2">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row>
    <row r="115" spans="1:27" ht="12.75" customHeight="1" x14ac:dyDescent="0.2">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row>
    <row r="116" spans="1:27" ht="12.75" customHeight="1" x14ac:dyDescent="0.2">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row>
    <row r="117" spans="1:27" ht="12.75" customHeight="1" x14ac:dyDescent="0.2">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row>
    <row r="118" spans="1:27" ht="12.75" customHeight="1" x14ac:dyDescent="0.2">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row>
    <row r="119" spans="1:27" ht="12.75" customHeight="1" x14ac:dyDescent="0.2">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row>
    <row r="120" spans="1:27" ht="12.75" customHeight="1" x14ac:dyDescent="0.2">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row>
    <row r="121" spans="1:27" ht="12.75" customHeight="1" x14ac:dyDescent="0.2">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row>
    <row r="122" spans="1:27" ht="12.75" customHeight="1" x14ac:dyDescent="0.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row>
    <row r="123" spans="1:27" ht="12.75" customHeight="1" x14ac:dyDescent="0.2">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row>
    <row r="124" spans="1:27" ht="12.75" customHeight="1" x14ac:dyDescent="0.2">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row>
    <row r="125" spans="1:27" ht="12.75" customHeight="1" x14ac:dyDescent="0.2">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row>
    <row r="126" spans="1:27" ht="12.75" customHeight="1" x14ac:dyDescent="0.2">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row>
    <row r="127" spans="1:27" ht="12.75" customHeight="1" x14ac:dyDescent="0.2">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row>
    <row r="128" spans="1:27" ht="12.75" customHeight="1" x14ac:dyDescent="0.2">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row>
    <row r="129" spans="1:27" ht="12.75" customHeight="1" x14ac:dyDescent="0.2">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row>
    <row r="130" spans="1:27" ht="12.75" customHeight="1" x14ac:dyDescent="0.2">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row>
    <row r="131" spans="1:27" ht="12.75" customHeight="1" x14ac:dyDescent="0.2">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row>
    <row r="132" spans="1:27" ht="12.75" customHeight="1" x14ac:dyDescent="0.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row>
    <row r="133" spans="1:27" ht="12.75" customHeight="1" x14ac:dyDescent="0.2">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row>
    <row r="134" spans="1:27" ht="12.75" customHeight="1" x14ac:dyDescent="0.2">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row>
    <row r="135" spans="1:27" ht="12.75" customHeight="1" x14ac:dyDescent="0.2">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row>
    <row r="136" spans="1:27" ht="12.75" customHeight="1" x14ac:dyDescent="0.2">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row>
    <row r="137" spans="1:27" ht="12.75" customHeight="1" x14ac:dyDescent="0.2">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row>
    <row r="138" spans="1:27" ht="12.75" customHeight="1" x14ac:dyDescent="0.2">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row>
    <row r="139" spans="1:27" ht="12.75" customHeight="1" x14ac:dyDescent="0.2">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row>
    <row r="140" spans="1:27" ht="12.75" customHeight="1" x14ac:dyDescent="0.2">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row>
    <row r="141" spans="1:27" ht="12.75" customHeight="1" x14ac:dyDescent="0.2">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row>
    <row r="142" spans="1:27" ht="12.75" customHeight="1" x14ac:dyDescent="0.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row>
    <row r="143" spans="1:27" ht="12.75" customHeight="1" x14ac:dyDescent="0.2">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row>
    <row r="144" spans="1:27" ht="12.75" customHeight="1" x14ac:dyDescent="0.2">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row>
    <row r="145" spans="1:27" ht="12.75" customHeight="1" x14ac:dyDescent="0.2">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row>
    <row r="146" spans="1:27" ht="12.75" customHeight="1" x14ac:dyDescent="0.2">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row>
    <row r="147" spans="1:27" ht="12.75" customHeight="1" x14ac:dyDescent="0.2">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row>
    <row r="148" spans="1:27" ht="12.75" customHeight="1" x14ac:dyDescent="0.2">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row>
    <row r="149" spans="1:27" ht="12.75" customHeight="1" x14ac:dyDescent="0.2">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row>
    <row r="150" spans="1:27" ht="12.75" customHeight="1" x14ac:dyDescent="0.2">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row>
    <row r="151" spans="1:27" ht="12.75" customHeight="1" x14ac:dyDescent="0.2">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row>
    <row r="152" spans="1:27" ht="12.75" customHeight="1" x14ac:dyDescent="0.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row>
    <row r="153" spans="1:27" ht="12.75" customHeight="1" x14ac:dyDescent="0.2">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row>
    <row r="154" spans="1:27" ht="12.75" customHeight="1" x14ac:dyDescent="0.2">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row>
    <row r="155" spans="1:27" ht="12.75" customHeight="1" x14ac:dyDescent="0.2">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row>
    <row r="156" spans="1:27" ht="12.75" customHeight="1" x14ac:dyDescent="0.2">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row>
    <row r="157" spans="1:27" ht="12.75" customHeight="1" x14ac:dyDescent="0.2">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row>
    <row r="158" spans="1:27" ht="12.75" customHeight="1" x14ac:dyDescent="0.2">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row>
    <row r="159" spans="1:27" ht="12.75" customHeight="1" x14ac:dyDescent="0.2">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row>
    <row r="160" spans="1:27" ht="12.75" customHeight="1" x14ac:dyDescent="0.2">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row>
    <row r="161" spans="1:27" ht="12.75" customHeight="1" x14ac:dyDescent="0.2">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row>
    <row r="162" spans="1:27" ht="12.75" customHeight="1" x14ac:dyDescent="0.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row>
    <row r="163" spans="1:27" ht="12.75" customHeight="1" x14ac:dyDescent="0.2">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row>
    <row r="164" spans="1:27" ht="12.75" customHeight="1" x14ac:dyDescent="0.2">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row>
    <row r="165" spans="1:27" ht="12.75" customHeight="1" x14ac:dyDescent="0.2">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row>
    <row r="166" spans="1:27" ht="12.75" customHeight="1" x14ac:dyDescent="0.2">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row>
    <row r="167" spans="1:27" ht="12.75" customHeight="1" x14ac:dyDescent="0.2">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row>
    <row r="168" spans="1:27" ht="12.75" customHeight="1" x14ac:dyDescent="0.2">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row>
    <row r="169" spans="1:27" ht="12.75" customHeight="1" x14ac:dyDescent="0.2">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row>
    <row r="170" spans="1:27" ht="12.75" customHeight="1" x14ac:dyDescent="0.2">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row>
    <row r="171" spans="1:27" ht="12.75" customHeight="1" x14ac:dyDescent="0.2">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row>
    <row r="172" spans="1:27" ht="12.75" customHeight="1" x14ac:dyDescent="0.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row>
    <row r="173" spans="1:27" ht="12.75" customHeight="1" x14ac:dyDescent="0.2">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row>
    <row r="174" spans="1:27" ht="12.75" customHeight="1" x14ac:dyDescent="0.2">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row>
    <row r="175" spans="1:27" ht="12.75" customHeight="1" x14ac:dyDescent="0.2">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row>
    <row r="176" spans="1:27" ht="12.75" customHeight="1" x14ac:dyDescent="0.2">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row>
    <row r="177" spans="1:27" ht="12.75" customHeight="1" x14ac:dyDescent="0.2">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row>
    <row r="178" spans="1:27" ht="12.75" customHeight="1" x14ac:dyDescent="0.2">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row>
    <row r="179" spans="1:27" ht="12.75" customHeight="1" x14ac:dyDescent="0.2">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row>
    <row r="180" spans="1:27" ht="12.75" customHeight="1" x14ac:dyDescent="0.2">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row>
    <row r="181" spans="1:27" ht="12.75" customHeight="1" x14ac:dyDescent="0.2">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row>
    <row r="182" spans="1:27" ht="12.75" customHeight="1" x14ac:dyDescent="0.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row>
    <row r="183" spans="1:27" ht="12.75" customHeight="1" x14ac:dyDescent="0.2">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row>
    <row r="184" spans="1:27" ht="12.75" customHeight="1" x14ac:dyDescent="0.2">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row>
    <row r="185" spans="1:27" ht="12.75" customHeight="1" x14ac:dyDescent="0.2">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row>
    <row r="186" spans="1:27" ht="12.75" customHeight="1" x14ac:dyDescent="0.2">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row>
    <row r="187" spans="1:27" ht="12.75" customHeight="1" x14ac:dyDescent="0.2">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row>
    <row r="188" spans="1:27" ht="12.75" customHeight="1" x14ac:dyDescent="0.2">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row>
    <row r="189" spans="1:27" ht="12.75" customHeight="1" x14ac:dyDescent="0.2">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row>
    <row r="190" spans="1:27" ht="12.75" customHeight="1" x14ac:dyDescent="0.2">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row>
    <row r="191" spans="1:27" ht="12.75" customHeight="1" x14ac:dyDescent="0.2">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row>
    <row r="192" spans="1:27" ht="12.75" customHeight="1" x14ac:dyDescent="0.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row>
    <row r="193" spans="1:27" ht="12.75" customHeight="1" x14ac:dyDescent="0.2">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row>
    <row r="194" spans="1:27" ht="12.75" customHeight="1" x14ac:dyDescent="0.2">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row>
    <row r="195" spans="1:27" ht="12.75" customHeight="1" x14ac:dyDescent="0.2">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row>
    <row r="196" spans="1:27" ht="12.75" customHeight="1" x14ac:dyDescent="0.2">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row>
    <row r="197" spans="1:27" ht="12.75" customHeight="1" x14ac:dyDescent="0.2">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row>
    <row r="198" spans="1:27" ht="12.75" customHeight="1" x14ac:dyDescent="0.2">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row>
    <row r="199" spans="1:27" ht="12.75" customHeight="1" x14ac:dyDescent="0.2">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row>
    <row r="200" spans="1:27" ht="12.75" customHeight="1" x14ac:dyDescent="0.2">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row>
    <row r="201" spans="1:27" ht="12.75" customHeight="1" x14ac:dyDescent="0.2">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row>
    <row r="202" spans="1:27" ht="12.75" customHeight="1" x14ac:dyDescent="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row>
    <row r="203" spans="1:27" ht="12.75" customHeight="1" x14ac:dyDescent="0.2">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row>
    <row r="204" spans="1:27" ht="12.75" customHeight="1" x14ac:dyDescent="0.2">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row>
    <row r="205" spans="1:27" ht="12.75" customHeight="1" x14ac:dyDescent="0.2">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row>
    <row r="206" spans="1:27" ht="12.75" customHeight="1" x14ac:dyDescent="0.2">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row>
    <row r="207" spans="1:27" ht="12.75" customHeight="1" x14ac:dyDescent="0.2">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row>
    <row r="208" spans="1:27" ht="12.75" customHeight="1" x14ac:dyDescent="0.2">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row>
    <row r="209" spans="1:27" ht="12.75" customHeight="1" x14ac:dyDescent="0.2">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row>
    <row r="210" spans="1:27" ht="12.75" customHeight="1" x14ac:dyDescent="0.2">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row>
    <row r="211" spans="1:27" ht="12.75" customHeight="1" x14ac:dyDescent="0.2">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row>
    <row r="212" spans="1:27" ht="12.75" customHeight="1" x14ac:dyDescent="0.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row>
    <row r="213" spans="1:27" ht="12.75" customHeight="1" x14ac:dyDescent="0.2">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row>
    <row r="214" spans="1:27" ht="12.75" customHeight="1" x14ac:dyDescent="0.2">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row>
    <row r="215" spans="1:27" ht="12.75" customHeight="1" x14ac:dyDescent="0.2">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row>
    <row r="216" spans="1:27" ht="12.75" customHeight="1" x14ac:dyDescent="0.2">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row>
    <row r="217" spans="1:27" ht="12.75" customHeight="1" x14ac:dyDescent="0.2">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row>
    <row r="218" spans="1:27" ht="12.75" customHeight="1" x14ac:dyDescent="0.2">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row>
    <row r="219" spans="1:27" ht="12.75" customHeight="1" x14ac:dyDescent="0.2">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row>
    <row r="220" spans="1:27" ht="12.75" customHeight="1" x14ac:dyDescent="0.2">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row>
    <row r="221" spans="1:27" ht="12.75" customHeight="1" x14ac:dyDescent="0.2">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row>
    <row r="222" spans="1:27" ht="12.75" customHeight="1" x14ac:dyDescent="0.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row>
    <row r="223" spans="1:27" ht="12.75" customHeight="1" x14ac:dyDescent="0.2">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row>
    <row r="224" spans="1:27" ht="12.75" customHeight="1" x14ac:dyDescent="0.2">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row>
    <row r="225" spans="1:27" ht="12.75" customHeight="1" x14ac:dyDescent="0.2">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row>
    <row r="226" spans="1:27" ht="12.75" customHeight="1" x14ac:dyDescent="0.2">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row>
    <row r="227" spans="1:27" ht="12.75" customHeight="1" x14ac:dyDescent="0.2">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row>
    <row r="228" spans="1:27" ht="12.75" customHeight="1" x14ac:dyDescent="0.2">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row>
    <row r="229" spans="1:27" ht="12.75" customHeight="1" x14ac:dyDescent="0.2">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row>
    <row r="230" spans="1:27" ht="12.75" customHeight="1" x14ac:dyDescent="0.2">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row>
    <row r="231" spans="1:27" ht="12.75" customHeight="1" x14ac:dyDescent="0.2">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row>
    <row r="232" spans="1:27" ht="12.75" customHeight="1" x14ac:dyDescent="0.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row>
    <row r="233" spans="1:27" ht="12.75" customHeight="1" x14ac:dyDescent="0.2">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row>
    <row r="234" spans="1:27" ht="12.75" customHeight="1" x14ac:dyDescent="0.2">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row>
    <row r="235" spans="1:27" ht="12.75" customHeight="1" x14ac:dyDescent="0.2">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row>
    <row r="236" spans="1:27" ht="12.75" customHeight="1" x14ac:dyDescent="0.2">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row>
    <row r="237" spans="1:27" ht="12.75" customHeight="1" x14ac:dyDescent="0.2">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row>
    <row r="238" spans="1:27" ht="12.75" customHeight="1" x14ac:dyDescent="0.2">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row>
    <row r="239" spans="1:27" ht="12.75" customHeight="1" x14ac:dyDescent="0.2">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row>
    <row r="240" spans="1:27" ht="12.75" customHeight="1" x14ac:dyDescent="0.2">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row>
    <row r="241" spans="1:27" ht="12.75" customHeight="1" x14ac:dyDescent="0.2">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row>
    <row r="242" spans="1:27" ht="12.75" customHeight="1" x14ac:dyDescent="0.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row>
    <row r="243" spans="1:27" ht="12.75" customHeight="1" x14ac:dyDescent="0.2">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row>
    <row r="244" spans="1:27" ht="12.75" customHeight="1" x14ac:dyDescent="0.2">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row>
    <row r="245" spans="1:27" ht="12.75" customHeight="1" x14ac:dyDescent="0.2">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row>
    <row r="246" spans="1:27" ht="12.75" customHeight="1" x14ac:dyDescent="0.2">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row>
    <row r="247" spans="1:27" ht="12.75" customHeight="1" x14ac:dyDescent="0.2">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row>
    <row r="248" spans="1:27" ht="12.75" customHeight="1" x14ac:dyDescent="0.2">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row>
    <row r="249" spans="1:27" ht="12.75" customHeight="1" x14ac:dyDescent="0.2">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row>
    <row r="250" spans="1:27" ht="12.75" customHeight="1" x14ac:dyDescent="0.2">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row>
    <row r="251" spans="1:27" ht="12.75" customHeight="1" x14ac:dyDescent="0.2">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row>
    <row r="252" spans="1:27" ht="12.75" customHeight="1" x14ac:dyDescent="0.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row>
    <row r="253" spans="1:27" ht="12.75" customHeight="1" x14ac:dyDescent="0.2">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row>
    <row r="254" spans="1:27" ht="12.75" customHeight="1" x14ac:dyDescent="0.2">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row>
    <row r="255" spans="1:27" ht="12.75" customHeight="1" x14ac:dyDescent="0.2">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row>
    <row r="256" spans="1:27" ht="12.75" customHeight="1" x14ac:dyDescent="0.2">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row>
    <row r="257" spans="1:27" ht="12.75" customHeight="1" x14ac:dyDescent="0.2">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row>
    <row r="258" spans="1:27" ht="12.75" customHeight="1" x14ac:dyDescent="0.2">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row>
    <row r="259" spans="1:27" ht="12.75" customHeight="1" x14ac:dyDescent="0.2">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row>
    <row r="260" spans="1:27" ht="12.75" customHeight="1" x14ac:dyDescent="0.2">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row>
    <row r="261" spans="1:27" ht="12.75" customHeight="1" x14ac:dyDescent="0.2">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row>
    <row r="262" spans="1:27" ht="12.75" customHeight="1" x14ac:dyDescent="0.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row>
    <row r="263" spans="1:27" ht="12.75" customHeight="1" x14ac:dyDescent="0.2">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row>
    <row r="264" spans="1:27" ht="12.75" customHeight="1" x14ac:dyDescent="0.2">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row>
    <row r="265" spans="1:27" ht="12.75" customHeight="1" x14ac:dyDescent="0.2">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row>
    <row r="266" spans="1:27" ht="12.75" customHeight="1" x14ac:dyDescent="0.2">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row>
    <row r="267" spans="1:27" ht="12.75" customHeight="1" x14ac:dyDescent="0.2">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row>
    <row r="268" spans="1:27" ht="12.75" customHeight="1" x14ac:dyDescent="0.2">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row>
    <row r="269" spans="1:27" ht="12.75" customHeight="1" x14ac:dyDescent="0.2">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row>
    <row r="270" spans="1:27" ht="12.75" customHeight="1" x14ac:dyDescent="0.2">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row>
    <row r="271" spans="1:27" ht="12.75" customHeight="1" x14ac:dyDescent="0.2">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row>
    <row r="272" spans="1:27" ht="12.75" customHeight="1" x14ac:dyDescent="0.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row>
    <row r="273" spans="1:27" ht="12.75" customHeight="1" x14ac:dyDescent="0.2">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row>
    <row r="274" spans="1:27" ht="12.75" customHeight="1" x14ac:dyDescent="0.2">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row>
    <row r="275" spans="1:27" ht="12.75" customHeight="1" x14ac:dyDescent="0.2">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row>
    <row r="276" spans="1:27" ht="12.75" customHeight="1" x14ac:dyDescent="0.2">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row>
    <row r="277" spans="1:27" ht="12.75" customHeight="1" x14ac:dyDescent="0.2">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row>
    <row r="278" spans="1:27" ht="12.75" customHeight="1" x14ac:dyDescent="0.2">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row>
    <row r="279" spans="1:27" ht="12.75" customHeight="1" x14ac:dyDescent="0.2">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row>
    <row r="280" spans="1:27" ht="12.75" customHeight="1" x14ac:dyDescent="0.2">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row>
    <row r="281" spans="1:27" ht="12.75" customHeight="1" x14ac:dyDescent="0.2">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row>
    <row r="282" spans="1:27" ht="12.75" customHeight="1" x14ac:dyDescent="0.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row>
    <row r="283" spans="1:27" ht="12.75" customHeight="1" x14ac:dyDescent="0.2">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row>
    <row r="284" spans="1:27" ht="12.75" customHeight="1" x14ac:dyDescent="0.2">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row>
    <row r="285" spans="1:27" ht="12.75" customHeight="1" x14ac:dyDescent="0.2">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row>
    <row r="286" spans="1:27" ht="12.75" customHeight="1" x14ac:dyDescent="0.2">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row>
    <row r="287" spans="1:27" ht="12.75" customHeight="1" x14ac:dyDescent="0.2">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row>
    <row r="288" spans="1:27" ht="12.75" customHeight="1" x14ac:dyDescent="0.2">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row>
    <row r="289" spans="1:27" ht="12.75" customHeight="1" x14ac:dyDescent="0.2">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row>
    <row r="290" spans="1:27" ht="12.75" customHeight="1" x14ac:dyDescent="0.2">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row>
    <row r="291" spans="1:27" ht="12.75" customHeight="1" x14ac:dyDescent="0.2">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row>
    <row r="292" spans="1:27" ht="12.75" customHeight="1" x14ac:dyDescent="0.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row>
    <row r="293" spans="1:27" ht="12.75" customHeight="1" x14ac:dyDescent="0.2">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row>
    <row r="294" spans="1:27" ht="12.75" customHeight="1" x14ac:dyDescent="0.2">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row>
    <row r="295" spans="1:27" ht="12.75" customHeight="1" x14ac:dyDescent="0.2">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row>
    <row r="296" spans="1:27" ht="12.75" customHeight="1" x14ac:dyDescent="0.2">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row>
    <row r="297" spans="1:27" ht="12.75" customHeight="1" x14ac:dyDescent="0.2">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row>
    <row r="298" spans="1:27" ht="12.75" customHeight="1" x14ac:dyDescent="0.2">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row>
    <row r="299" spans="1:27" ht="12.75" customHeight="1" x14ac:dyDescent="0.2">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row>
    <row r="300" spans="1:27" ht="12.75" customHeight="1" x14ac:dyDescent="0.2">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row>
    <row r="301" spans="1:27" ht="12.75" customHeight="1" x14ac:dyDescent="0.2">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row>
    <row r="302" spans="1:27" ht="12.75" customHeight="1" x14ac:dyDescent="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row>
    <row r="303" spans="1:27" ht="12.75" customHeight="1" x14ac:dyDescent="0.2">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row>
    <row r="304" spans="1:27" ht="12.75" customHeight="1" x14ac:dyDescent="0.2">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row>
    <row r="305" spans="1:27" ht="12.75" customHeight="1" x14ac:dyDescent="0.2">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row>
    <row r="306" spans="1:27" ht="12.75" customHeight="1" x14ac:dyDescent="0.2">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row>
    <row r="307" spans="1:27" ht="12.75" customHeight="1" x14ac:dyDescent="0.2">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row>
    <row r="308" spans="1:27" ht="12.75" customHeight="1" x14ac:dyDescent="0.2">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row>
    <row r="309" spans="1:27" ht="12.75" customHeight="1" x14ac:dyDescent="0.2">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row>
    <row r="310" spans="1:27" ht="12.75" customHeight="1" x14ac:dyDescent="0.2">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row>
    <row r="311" spans="1:27" ht="12.75" customHeight="1" x14ac:dyDescent="0.2">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row>
    <row r="312" spans="1:27" ht="12.75" customHeight="1" x14ac:dyDescent="0.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row>
    <row r="313" spans="1:27" ht="12.75" customHeight="1" x14ac:dyDescent="0.2">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row>
    <row r="314" spans="1:27" ht="12.75" customHeight="1" x14ac:dyDescent="0.2">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row>
    <row r="315" spans="1:27" ht="12.75" customHeight="1" x14ac:dyDescent="0.2">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row>
    <row r="316" spans="1:27" ht="12.75" customHeight="1" x14ac:dyDescent="0.2">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row>
    <row r="317" spans="1:27" ht="12.75" customHeight="1" x14ac:dyDescent="0.2">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row>
    <row r="318" spans="1:27" ht="12.75" customHeight="1" x14ac:dyDescent="0.2">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row>
    <row r="319" spans="1:27" ht="12.75" customHeight="1" x14ac:dyDescent="0.2">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row>
    <row r="320" spans="1:27" ht="12.75" customHeight="1" x14ac:dyDescent="0.2">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row>
    <row r="321" spans="1:27" ht="12.75" customHeight="1" x14ac:dyDescent="0.2">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row>
    <row r="322" spans="1:27" ht="12.75" customHeight="1" x14ac:dyDescent="0.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row>
    <row r="323" spans="1:27" ht="12.75" customHeight="1" x14ac:dyDescent="0.2">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row>
    <row r="324" spans="1:27" ht="12.75" customHeight="1" x14ac:dyDescent="0.2">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row>
    <row r="325" spans="1:27" ht="12.75" customHeight="1" x14ac:dyDescent="0.2">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row>
    <row r="326" spans="1:27" ht="12.75" customHeight="1" x14ac:dyDescent="0.2">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row>
    <row r="327" spans="1:27" ht="12.75" customHeight="1" x14ac:dyDescent="0.2">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row>
    <row r="328" spans="1:27" ht="12.75" customHeight="1" x14ac:dyDescent="0.2">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row>
    <row r="329" spans="1:27" ht="12.75" customHeight="1" x14ac:dyDescent="0.2">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row>
    <row r="330" spans="1:27" ht="12.75" customHeight="1" x14ac:dyDescent="0.2">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row>
    <row r="331" spans="1:27" ht="12.75" customHeight="1" x14ac:dyDescent="0.2">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row>
    <row r="332" spans="1:27" ht="12.75" customHeight="1" x14ac:dyDescent="0.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row>
    <row r="333" spans="1:27" ht="12.75" customHeight="1" x14ac:dyDescent="0.2">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row>
    <row r="334" spans="1:27" ht="12.75" customHeight="1" x14ac:dyDescent="0.2">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row>
    <row r="335" spans="1:27" ht="12.75" customHeight="1" x14ac:dyDescent="0.2">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row>
    <row r="336" spans="1:27" ht="12.75" customHeight="1" x14ac:dyDescent="0.2">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row>
    <row r="337" spans="1:27" ht="12.75" customHeight="1" x14ac:dyDescent="0.2">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row>
    <row r="338" spans="1:27" ht="12.75" customHeight="1" x14ac:dyDescent="0.2">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row>
    <row r="339" spans="1:27" ht="12.75" customHeight="1" x14ac:dyDescent="0.2">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row>
    <row r="340" spans="1:27" ht="12.75" customHeight="1" x14ac:dyDescent="0.2">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row>
    <row r="341" spans="1:27" ht="12.75" customHeight="1" x14ac:dyDescent="0.2">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row>
    <row r="342" spans="1:27" ht="12.75" customHeight="1" x14ac:dyDescent="0.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row>
    <row r="343" spans="1:27" ht="12.75" customHeight="1" x14ac:dyDescent="0.2">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row>
    <row r="344" spans="1:27" ht="12.75" customHeight="1" x14ac:dyDescent="0.2">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row>
    <row r="345" spans="1:27" ht="12.75" customHeight="1" x14ac:dyDescent="0.2">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row>
    <row r="346" spans="1:27" ht="12.75" customHeight="1" x14ac:dyDescent="0.2">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row>
    <row r="347" spans="1:27" ht="12.75" customHeight="1" x14ac:dyDescent="0.2">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row>
    <row r="348" spans="1:27" ht="12.75" customHeight="1" x14ac:dyDescent="0.2">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row>
    <row r="349" spans="1:27" ht="12.75" customHeight="1" x14ac:dyDescent="0.2">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row>
    <row r="350" spans="1:27" ht="12.75" customHeight="1" x14ac:dyDescent="0.2">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row>
    <row r="351" spans="1:27" ht="12.75" customHeight="1" x14ac:dyDescent="0.2">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row>
    <row r="352" spans="1:27" ht="12.75" customHeight="1" x14ac:dyDescent="0.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row>
    <row r="353" spans="1:27" ht="12.75" customHeight="1" x14ac:dyDescent="0.2">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row>
    <row r="354" spans="1:27" ht="12.75" customHeight="1" x14ac:dyDescent="0.2">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row>
    <row r="355" spans="1:27" ht="12.75" customHeight="1" x14ac:dyDescent="0.2">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row>
    <row r="356" spans="1:27" ht="12.75" customHeight="1" x14ac:dyDescent="0.2">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row>
    <row r="357" spans="1:27" ht="12.75" customHeight="1" x14ac:dyDescent="0.2">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row>
    <row r="358" spans="1:27" ht="12.75" customHeight="1" x14ac:dyDescent="0.2">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row>
    <row r="359" spans="1:27" ht="12.75" customHeight="1" x14ac:dyDescent="0.2">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row>
    <row r="360" spans="1:27" ht="12.75" customHeight="1" x14ac:dyDescent="0.2">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row>
    <row r="361" spans="1:27" ht="12.75" customHeight="1" x14ac:dyDescent="0.2">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row>
    <row r="362" spans="1:27" ht="12.75" customHeight="1" x14ac:dyDescent="0.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row>
    <row r="363" spans="1:27" ht="12.75" customHeight="1" x14ac:dyDescent="0.2">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row>
    <row r="364" spans="1:27" ht="12.75" customHeight="1" x14ac:dyDescent="0.2">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row>
    <row r="365" spans="1:27" ht="12.75" customHeight="1" x14ac:dyDescent="0.2">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row>
    <row r="366" spans="1:27" ht="12.75" customHeight="1" x14ac:dyDescent="0.2">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row>
    <row r="367" spans="1:27" ht="12.75" customHeight="1" x14ac:dyDescent="0.2">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row>
    <row r="368" spans="1:27" ht="12.75" customHeight="1" x14ac:dyDescent="0.2">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row>
    <row r="369" spans="1:27" ht="12.75" customHeight="1" x14ac:dyDescent="0.2">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row>
    <row r="370" spans="1:27" ht="12.75" customHeight="1" x14ac:dyDescent="0.2">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row>
    <row r="371" spans="1:27" ht="12.75" customHeight="1" x14ac:dyDescent="0.2">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row>
    <row r="372" spans="1:27" ht="12.75" customHeight="1" x14ac:dyDescent="0.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row>
    <row r="373" spans="1:27" ht="12.75" customHeight="1" x14ac:dyDescent="0.2">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row>
    <row r="374" spans="1:27" ht="12.75" customHeight="1" x14ac:dyDescent="0.2">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row>
    <row r="375" spans="1:27" ht="12.75" customHeight="1" x14ac:dyDescent="0.2">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row>
    <row r="376" spans="1:27" ht="12.75" customHeight="1" x14ac:dyDescent="0.2">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row>
    <row r="377" spans="1:27" ht="12.75" customHeight="1" x14ac:dyDescent="0.2">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row>
    <row r="378" spans="1:27" ht="12.75" customHeight="1" x14ac:dyDescent="0.2">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row>
    <row r="379" spans="1:27" ht="12.75" customHeight="1" x14ac:dyDescent="0.2">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row>
    <row r="380" spans="1:27" ht="12.75" customHeight="1" x14ac:dyDescent="0.2">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row>
    <row r="381" spans="1:27" ht="12.75" customHeight="1" x14ac:dyDescent="0.2">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row>
    <row r="382" spans="1:27" ht="12.75" customHeight="1" x14ac:dyDescent="0.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row>
    <row r="383" spans="1:27" ht="12.75" customHeight="1" x14ac:dyDescent="0.2">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row>
    <row r="384" spans="1:27" ht="12.75" customHeight="1" x14ac:dyDescent="0.2">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row>
    <row r="385" spans="1:27" ht="12.75" customHeight="1" x14ac:dyDescent="0.2">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row>
    <row r="386" spans="1:27" ht="12.75" customHeight="1" x14ac:dyDescent="0.2">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row>
    <row r="387" spans="1:27" ht="12.75" customHeight="1" x14ac:dyDescent="0.2">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row>
    <row r="388" spans="1:27" ht="12.75" customHeight="1" x14ac:dyDescent="0.2">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row>
    <row r="389" spans="1:27" ht="12.75" customHeight="1" x14ac:dyDescent="0.2">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row>
    <row r="390" spans="1:27" ht="12.75" customHeight="1" x14ac:dyDescent="0.2">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row>
    <row r="391" spans="1:27" ht="12.75" customHeight="1" x14ac:dyDescent="0.2">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row>
    <row r="392" spans="1:27" ht="12.75" customHeight="1" x14ac:dyDescent="0.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row>
    <row r="393" spans="1:27" ht="12.75" customHeight="1" x14ac:dyDescent="0.2">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row>
    <row r="394" spans="1:27" ht="12.75" customHeight="1" x14ac:dyDescent="0.2">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row>
    <row r="395" spans="1:27" ht="12.75" customHeight="1" x14ac:dyDescent="0.2">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row>
    <row r="396" spans="1:27" ht="12.75" customHeight="1" x14ac:dyDescent="0.2">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row>
    <row r="397" spans="1:27" ht="12.75" customHeight="1" x14ac:dyDescent="0.2">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row>
    <row r="398" spans="1:27" ht="12.75" customHeight="1" x14ac:dyDescent="0.2">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row>
    <row r="399" spans="1:27" ht="12.75" customHeight="1" x14ac:dyDescent="0.2">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row>
    <row r="400" spans="1:27" ht="12.75" customHeight="1" x14ac:dyDescent="0.2">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row>
    <row r="401" spans="1:27" ht="12.75" customHeight="1" x14ac:dyDescent="0.2">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row>
    <row r="402" spans="1:27" ht="12.75" customHeight="1" x14ac:dyDescent="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row>
    <row r="403" spans="1:27" ht="12.75" customHeight="1" x14ac:dyDescent="0.2">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row>
    <row r="404" spans="1:27" ht="12.75" customHeight="1" x14ac:dyDescent="0.2">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row>
    <row r="405" spans="1:27" ht="12.75" customHeight="1" x14ac:dyDescent="0.2">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row>
    <row r="406" spans="1:27" ht="12.75" customHeight="1" x14ac:dyDescent="0.2">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row>
    <row r="407" spans="1:27" ht="12.75" customHeight="1" x14ac:dyDescent="0.2">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row>
    <row r="408" spans="1:27" ht="12.75" customHeight="1" x14ac:dyDescent="0.2">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row>
    <row r="409" spans="1:27" ht="12.75" customHeight="1" x14ac:dyDescent="0.2">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row>
    <row r="410" spans="1:27" ht="12.75" customHeight="1" x14ac:dyDescent="0.2">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row>
    <row r="411" spans="1:27" ht="12.75" customHeight="1" x14ac:dyDescent="0.2">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row>
    <row r="412" spans="1:27" ht="12.75" customHeight="1" x14ac:dyDescent="0.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row>
    <row r="413" spans="1:27" ht="12.75" customHeight="1" x14ac:dyDescent="0.2">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row>
    <row r="414" spans="1:27" ht="12.75" customHeight="1" x14ac:dyDescent="0.2">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row>
    <row r="415" spans="1:27" ht="12.75" customHeight="1" x14ac:dyDescent="0.2">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row>
    <row r="416" spans="1:27" ht="12.75" customHeight="1" x14ac:dyDescent="0.2">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row>
    <row r="417" spans="1:27" ht="12.75" customHeight="1" x14ac:dyDescent="0.2">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row>
    <row r="418" spans="1:27" ht="12.75" customHeight="1" x14ac:dyDescent="0.2">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row>
    <row r="419" spans="1:27" ht="12.75" customHeight="1" x14ac:dyDescent="0.2">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row>
    <row r="420" spans="1:27" ht="12.75" customHeight="1" x14ac:dyDescent="0.2">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row>
    <row r="421" spans="1:27" ht="12.75" customHeight="1" x14ac:dyDescent="0.2">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row>
    <row r="422" spans="1:27" ht="12.75" customHeight="1" x14ac:dyDescent="0.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row>
    <row r="423" spans="1:27" ht="12.75" customHeight="1" x14ac:dyDescent="0.2">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row>
    <row r="424" spans="1:27" ht="12.75" customHeight="1" x14ac:dyDescent="0.2">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row>
    <row r="425" spans="1:27" ht="12.75" customHeight="1" x14ac:dyDescent="0.2">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row>
    <row r="426" spans="1:27" ht="12.75" customHeight="1" x14ac:dyDescent="0.2">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row>
    <row r="427" spans="1:27" ht="12.75" customHeight="1" x14ac:dyDescent="0.2">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row>
    <row r="428" spans="1:27" ht="12.75" customHeight="1" x14ac:dyDescent="0.2">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row>
    <row r="429" spans="1:27" ht="12.75" customHeight="1" x14ac:dyDescent="0.2">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row>
    <row r="430" spans="1:27" ht="12.75" customHeight="1" x14ac:dyDescent="0.2">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row>
    <row r="431" spans="1:27" ht="12.75" customHeight="1" x14ac:dyDescent="0.2">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row>
    <row r="432" spans="1:27" ht="12.75" customHeight="1" x14ac:dyDescent="0.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row>
    <row r="433" spans="1:27" ht="12.75" customHeight="1" x14ac:dyDescent="0.2">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row>
    <row r="434" spans="1:27" ht="12.75" customHeight="1" x14ac:dyDescent="0.2">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row>
    <row r="435" spans="1:27" ht="12.75" customHeight="1" x14ac:dyDescent="0.2">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row>
    <row r="436" spans="1:27" ht="12.75" customHeight="1" x14ac:dyDescent="0.2">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row>
    <row r="437" spans="1:27" ht="12.75" customHeight="1" x14ac:dyDescent="0.2">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row>
    <row r="438" spans="1:27" ht="12.75" customHeight="1" x14ac:dyDescent="0.2">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row>
    <row r="439" spans="1:27" ht="12.75" customHeight="1" x14ac:dyDescent="0.2">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row>
    <row r="440" spans="1:27" ht="12.75" customHeight="1" x14ac:dyDescent="0.2">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row>
    <row r="441" spans="1:27" ht="12.75" customHeight="1" x14ac:dyDescent="0.2">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row>
    <row r="442" spans="1:27" ht="12.75" customHeight="1" x14ac:dyDescent="0.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row>
    <row r="443" spans="1:27" ht="12.75" customHeight="1" x14ac:dyDescent="0.2">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row>
    <row r="444" spans="1:27" ht="12.75" customHeight="1" x14ac:dyDescent="0.2">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row>
    <row r="445" spans="1:27" ht="12.75" customHeight="1" x14ac:dyDescent="0.2">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row>
    <row r="446" spans="1:27" ht="12.75" customHeight="1" x14ac:dyDescent="0.2">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row>
    <row r="447" spans="1:27" ht="12.75" customHeight="1" x14ac:dyDescent="0.2">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row>
    <row r="448" spans="1:27" ht="12.75" customHeight="1" x14ac:dyDescent="0.2">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row>
    <row r="449" spans="1:27" ht="12.75" customHeight="1" x14ac:dyDescent="0.2">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row>
    <row r="450" spans="1:27" ht="12.75" customHeight="1" x14ac:dyDescent="0.2">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row>
    <row r="451" spans="1:27" ht="12.75" customHeight="1" x14ac:dyDescent="0.2">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row>
    <row r="452" spans="1:27" ht="12.75" customHeight="1" x14ac:dyDescent="0.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row>
    <row r="453" spans="1:27" ht="12.75" customHeight="1" x14ac:dyDescent="0.2">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row>
    <row r="454" spans="1:27" ht="12.75" customHeight="1" x14ac:dyDescent="0.2">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row>
    <row r="455" spans="1:27" ht="12.75" customHeight="1" x14ac:dyDescent="0.2">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row>
    <row r="456" spans="1:27" ht="12.75" customHeight="1" x14ac:dyDescent="0.2">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row>
    <row r="457" spans="1:27" ht="12.75" customHeight="1" x14ac:dyDescent="0.2">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row>
    <row r="458" spans="1:27" ht="12.75" customHeight="1" x14ac:dyDescent="0.2">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row>
    <row r="459" spans="1:27" ht="12.75" customHeight="1" x14ac:dyDescent="0.2">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row>
    <row r="460" spans="1:27" ht="12.75" customHeight="1" x14ac:dyDescent="0.2">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row>
    <row r="461" spans="1:27" ht="12.75" customHeight="1" x14ac:dyDescent="0.2">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row>
    <row r="462" spans="1:27" ht="12.75" customHeight="1" x14ac:dyDescent="0.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row>
    <row r="463" spans="1:27" ht="12.75" customHeight="1" x14ac:dyDescent="0.2">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row>
    <row r="464" spans="1:27" ht="12.75" customHeight="1" x14ac:dyDescent="0.2">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row>
    <row r="465" spans="1:27" ht="12.75" customHeight="1" x14ac:dyDescent="0.2">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row>
    <row r="466" spans="1:27" ht="12.75" customHeight="1" x14ac:dyDescent="0.2">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row>
    <row r="467" spans="1:27" ht="12.75" customHeight="1" x14ac:dyDescent="0.2">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row>
    <row r="468" spans="1:27" ht="12.75" customHeight="1" x14ac:dyDescent="0.2">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row>
    <row r="469" spans="1:27" ht="12.75" customHeight="1" x14ac:dyDescent="0.2">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row>
    <row r="470" spans="1:27" ht="12.75" customHeight="1" x14ac:dyDescent="0.2">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row>
    <row r="471" spans="1:27" ht="12.75" customHeight="1" x14ac:dyDescent="0.2">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row>
    <row r="472" spans="1:27" ht="12.75" customHeight="1" x14ac:dyDescent="0.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row>
    <row r="473" spans="1:27" ht="12.75" customHeight="1" x14ac:dyDescent="0.2">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row>
    <row r="474" spans="1:27" ht="12.75" customHeight="1" x14ac:dyDescent="0.2">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row>
    <row r="475" spans="1:27" ht="12.75" customHeight="1" x14ac:dyDescent="0.2">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row>
    <row r="476" spans="1:27" ht="12.75" customHeight="1" x14ac:dyDescent="0.2">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row>
    <row r="477" spans="1:27" ht="12.75" customHeight="1" x14ac:dyDescent="0.2">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row>
    <row r="478" spans="1:27" ht="12.75" customHeight="1" x14ac:dyDescent="0.2">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row>
    <row r="479" spans="1:27" ht="12.75" customHeight="1" x14ac:dyDescent="0.2">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row>
    <row r="480" spans="1:27" ht="12.75" customHeight="1" x14ac:dyDescent="0.2">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row>
    <row r="481" spans="1:27" ht="12.75" customHeight="1" x14ac:dyDescent="0.2">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row>
    <row r="482" spans="1:27" ht="12.75" customHeight="1" x14ac:dyDescent="0.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row>
    <row r="483" spans="1:27" ht="12.75" customHeight="1" x14ac:dyDescent="0.2">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row>
    <row r="484" spans="1:27" ht="12.75" customHeight="1" x14ac:dyDescent="0.2">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row>
    <row r="485" spans="1:27" ht="12.75" customHeight="1" x14ac:dyDescent="0.2">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row>
    <row r="486" spans="1:27" ht="12.75" customHeight="1" x14ac:dyDescent="0.2">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row>
    <row r="487" spans="1:27" ht="12.75" customHeight="1" x14ac:dyDescent="0.2">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row>
    <row r="488" spans="1:27" ht="12.75" customHeight="1" x14ac:dyDescent="0.2">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row>
    <row r="489" spans="1:27" ht="12.75" customHeight="1" x14ac:dyDescent="0.2">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row>
    <row r="490" spans="1:27" ht="12.75" customHeight="1" x14ac:dyDescent="0.2">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row>
    <row r="491" spans="1:27" ht="12.75" customHeight="1" x14ac:dyDescent="0.2">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row>
    <row r="492" spans="1:27" ht="12.75" customHeight="1" x14ac:dyDescent="0.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row>
    <row r="493" spans="1:27" ht="12.75" customHeight="1" x14ac:dyDescent="0.2">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row>
    <row r="494" spans="1:27" ht="12.75" customHeight="1" x14ac:dyDescent="0.2">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row>
    <row r="495" spans="1:27" ht="12.75" customHeight="1" x14ac:dyDescent="0.2">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row>
    <row r="496" spans="1:27" ht="12.75" customHeight="1" x14ac:dyDescent="0.2">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row>
    <row r="497" spans="1:27" ht="12.75" customHeight="1" x14ac:dyDescent="0.2">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row>
    <row r="498" spans="1:27" ht="12.75" customHeight="1" x14ac:dyDescent="0.2">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row>
    <row r="499" spans="1:27" ht="12.75" customHeight="1" x14ac:dyDescent="0.2">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row>
    <row r="500" spans="1:27" ht="12.75" customHeight="1" x14ac:dyDescent="0.2">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row>
    <row r="501" spans="1:27" ht="12.75" customHeight="1" x14ac:dyDescent="0.2">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row>
    <row r="502" spans="1:27" ht="12.75" customHeight="1" x14ac:dyDescent="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row>
    <row r="503" spans="1:27" ht="12.75" customHeight="1" x14ac:dyDescent="0.2">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row>
    <row r="504" spans="1:27" ht="12.75" customHeight="1" x14ac:dyDescent="0.2">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row>
    <row r="505" spans="1:27" ht="12.75" customHeight="1" x14ac:dyDescent="0.2">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row>
    <row r="506" spans="1:27" ht="12.75" customHeight="1" x14ac:dyDescent="0.2">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row>
    <row r="507" spans="1:27" ht="12.75" customHeight="1" x14ac:dyDescent="0.2">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row>
    <row r="508" spans="1:27" ht="12.75" customHeight="1" x14ac:dyDescent="0.2">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row>
    <row r="509" spans="1:27" ht="12.75" customHeight="1" x14ac:dyDescent="0.2">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row>
    <row r="510" spans="1:27" ht="12.75" customHeight="1" x14ac:dyDescent="0.2">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row>
    <row r="511" spans="1:27" ht="12.75" customHeight="1" x14ac:dyDescent="0.2">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row>
    <row r="512" spans="1:27" ht="12.75" customHeight="1" x14ac:dyDescent="0.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row>
    <row r="513" spans="1:27" ht="12.75" customHeight="1" x14ac:dyDescent="0.2">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row>
    <row r="514" spans="1:27" ht="12.75" customHeight="1" x14ac:dyDescent="0.2">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row>
    <row r="515" spans="1:27" ht="12.75" customHeight="1" x14ac:dyDescent="0.2">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row>
    <row r="516" spans="1:27" ht="12.75" customHeight="1" x14ac:dyDescent="0.2">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row>
    <row r="517" spans="1:27" ht="12.75" customHeight="1" x14ac:dyDescent="0.2">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row>
    <row r="518" spans="1:27" ht="12.75" customHeight="1" x14ac:dyDescent="0.2">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row>
    <row r="519" spans="1:27" ht="12.75" customHeight="1" x14ac:dyDescent="0.2">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row>
    <row r="520" spans="1:27" ht="12.75" customHeight="1" x14ac:dyDescent="0.2">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row>
    <row r="521" spans="1:27" ht="12.75" customHeight="1" x14ac:dyDescent="0.2">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row>
    <row r="522" spans="1:27" ht="12.75" customHeight="1" x14ac:dyDescent="0.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row>
    <row r="523" spans="1:27" ht="12.75" customHeight="1" x14ac:dyDescent="0.2">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row>
    <row r="524" spans="1:27" ht="12.75" customHeight="1" x14ac:dyDescent="0.2">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row>
    <row r="525" spans="1:27" ht="12.75" customHeight="1" x14ac:dyDescent="0.2">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row>
    <row r="526" spans="1:27" ht="12.75" customHeight="1" x14ac:dyDescent="0.2">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row>
    <row r="527" spans="1:27" ht="12.75" customHeight="1" x14ac:dyDescent="0.2">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row>
    <row r="528" spans="1:27" ht="12.75" customHeight="1" x14ac:dyDescent="0.2">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row>
    <row r="529" spans="1:27" ht="12.75" customHeight="1" x14ac:dyDescent="0.2">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row>
    <row r="530" spans="1:27" ht="12.75" customHeight="1" x14ac:dyDescent="0.2">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row>
    <row r="531" spans="1:27" ht="12.75" customHeight="1" x14ac:dyDescent="0.2">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row>
    <row r="532" spans="1:27" ht="12.75" customHeight="1" x14ac:dyDescent="0.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row>
    <row r="533" spans="1:27" ht="12.75" customHeight="1" x14ac:dyDescent="0.2">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row>
    <row r="534" spans="1:27" ht="12.75" customHeight="1" x14ac:dyDescent="0.2">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row>
    <row r="535" spans="1:27" ht="12.75" customHeight="1" x14ac:dyDescent="0.2">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row>
    <row r="536" spans="1:27" ht="12.75" customHeight="1" x14ac:dyDescent="0.2">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row>
    <row r="537" spans="1:27" ht="12.75" customHeight="1" x14ac:dyDescent="0.2">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row>
    <row r="538" spans="1:27" ht="12.75" customHeight="1" x14ac:dyDescent="0.2">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row>
    <row r="539" spans="1:27" ht="12.75" customHeight="1" x14ac:dyDescent="0.2">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row>
    <row r="540" spans="1:27" ht="12.75" customHeight="1" x14ac:dyDescent="0.2">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row>
    <row r="541" spans="1:27" ht="12.75" customHeight="1" x14ac:dyDescent="0.2">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row>
    <row r="542" spans="1:27" ht="12.75" customHeight="1" x14ac:dyDescent="0.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row>
    <row r="543" spans="1:27" ht="12.75" customHeight="1" x14ac:dyDescent="0.2">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row>
    <row r="544" spans="1:27" ht="12.75" customHeight="1" x14ac:dyDescent="0.2">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row>
    <row r="545" spans="1:27" ht="12.75" customHeight="1" x14ac:dyDescent="0.2">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row>
    <row r="546" spans="1:27" ht="12.75" customHeight="1" x14ac:dyDescent="0.2">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row>
    <row r="547" spans="1:27" ht="12.75" customHeight="1" x14ac:dyDescent="0.2">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row>
    <row r="548" spans="1:27" ht="12.75" customHeight="1" x14ac:dyDescent="0.2">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row>
    <row r="549" spans="1:27" ht="12.75" customHeight="1" x14ac:dyDescent="0.2">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row>
    <row r="550" spans="1:27" ht="12.75" customHeight="1" x14ac:dyDescent="0.2">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row>
    <row r="551" spans="1:27" ht="12.75" customHeight="1" x14ac:dyDescent="0.2">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row>
    <row r="552" spans="1:27" ht="12.75" customHeight="1" x14ac:dyDescent="0.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row>
    <row r="553" spans="1:27" ht="12.75" customHeight="1" x14ac:dyDescent="0.2">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row>
    <row r="554" spans="1:27" ht="12.75" customHeight="1" x14ac:dyDescent="0.2">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row>
    <row r="555" spans="1:27" ht="12.75" customHeight="1" x14ac:dyDescent="0.2">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row>
    <row r="556" spans="1:27" ht="12.75" customHeight="1" x14ac:dyDescent="0.2">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row>
    <row r="557" spans="1:27" ht="12.75" customHeight="1" x14ac:dyDescent="0.2">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row>
    <row r="558" spans="1:27" ht="12.75" customHeight="1" x14ac:dyDescent="0.2">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row>
    <row r="559" spans="1:27" ht="12.75" customHeight="1" x14ac:dyDescent="0.2">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row>
    <row r="560" spans="1:27" ht="12.75" customHeight="1" x14ac:dyDescent="0.2">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row>
    <row r="561" spans="1:27" ht="12.75" customHeight="1" x14ac:dyDescent="0.2">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row>
    <row r="562" spans="1:27" ht="12.75" customHeight="1" x14ac:dyDescent="0.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row>
    <row r="563" spans="1:27" ht="12.75" customHeight="1" x14ac:dyDescent="0.2">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row>
    <row r="564" spans="1:27" ht="12.75" customHeight="1" x14ac:dyDescent="0.2">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row>
    <row r="565" spans="1:27" ht="12.75" customHeight="1" x14ac:dyDescent="0.2">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row>
    <row r="566" spans="1:27" ht="12.75" customHeight="1" x14ac:dyDescent="0.2">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row>
    <row r="567" spans="1:27" ht="12.75" customHeight="1" x14ac:dyDescent="0.2">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row>
    <row r="568" spans="1:27" ht="12.75" customHeight="1" x14ac:dyDescent="0.2">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row>
    <row r="569" spans="1:27" ht="12.75" customHeight="1" x14ac:dyDescent="0.2">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row>
    <row r="570" spans="1:27" ht="12.75" customHeight="1" x14ac:dyDescent="0.2">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row>
    <row r="571" spans="1:27" ht="12.75" customHeight="1" x14ac:dyDescent="0.2">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row>
    <row r="572" spans="1:27" ht="12.75" customHeight="1" x14ac:dyDescent="0.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row>
    <row r="573" spans="1:27" ht="12.75" customHeight="1" x14ac:dyDescent="0.2">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row>
    <row r="574" spans="1:27" ht="12.75" customHeight="1" x14ac:dyDescent="0.2">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row>
    <row r="575" spans="1:27" ht="12.75" customHeight="1" x14ac:dyDescent="0.2">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row>
    <row r="576" spans="1:27" ht="12.75" customHeight="1" x14ac:dyDescent="0.2">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row>
    <row r="577" spans="1:27" ht="12.75" customHeight="1" x14ac:dyDescent="0.2">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row>
    <row r="578" spans="1:27" ht="12.75" customHeight="1" x14ac:dyDescent="0.2">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row>
    <row r="579" spans="1:27" ht="12.75" customHeight="1" x14ac:dyDescent="0.2">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row>
    <row r="580" spans="1:27" ht="12.75" customHeight="1" x14ac:dyDescent="0.2">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row>
    <row r="581" spans="1:27" ht="12.75" customHeight="1" x14ac:dyDescent="0.2">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row>
    <row r="582" spans="1:27" ht="12.75" customHeight="1" x14ac:dyDescent="0.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row>
    <row r="583" spans="1:27" ht="12.75" customHeight="1" x14ac:dyDescent="0.2">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row>
    <row r="584" spans="1:27" ht="12.75" customHeight="1" x14ac:dyDescent="0.2">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row>
    <row r="585" spans="1:27" ht="12.75" customHeight="1" x14ac:dyDescent="0.2">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row>
    <row r="586" spans="1:27" ht="12.75" customHeight="1" x14ac:dyDescent="0.2">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row>
    <row r="587" spans="1:27" ht="12.75" customHeight="1" x14ac:dyDescent="0.2">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row>
    <row r="588" spans="1:27" ht="12.75" customHeight="1" x14ac:dyDescent="0.2">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row>
    <row r="589" spans="1:27" ht="12.75" customHeight="1" x14ac:dyDescent="0.2">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row>
    <row r="590" spans="1:27" ht="12.75" customHeight="1" x14ac:dyDescent="0.2">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row>
    <row r="591" spans="1:27" ht="12.75" customHeight="1" x14ac:dyDescent="0.2">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row>
    <row r="592" spans="1:27" ht="12.75" customHeight="1" x14ac:dyDescent="0.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row>
    <row r="593" spans="1:27" ht="12.75" customHeight="1" x14ac:dyDescent="0.2">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row>
    <row r="594" spans="1:27" ht="12.75" customHeight="1" x14ac:dyDescent="0.2">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row>
    <row r="595" spans="1:27" ht="12.75" customHeight="1" x14ac:dyDescent="0.2">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row>
    <row r="596" spans="1:27" ht="12.75" customHeight="1" x14ac:dyDescent="0.2">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row>
    <row r="597" spans="1:27" ht="12.75" customHeight="1" x14ac:dyDescent="0.2">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row>
    <row r="598" spans="1:27" ht="12.75" customHeight="1" x14ac:dyDescent="0.2">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row>
    <row r="599" spans="1:27" ht="12.75" customHeight="1" x14ac:dyDescent="0.2">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row>
    <row r="600" spans="1:27" ht="12.75" customHeight="1" x14ac:dyDescent="0.2">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row>
    <row r="601" spans="1:27" ht="12.75" customHeight="1" x14ac:dyDescent="0.2">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row>
    <row r="602" spans="1:27" ht="12.75" customHeight="1" x14ac:dyDescent="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row>
    <row r="603" spans="1:27" ht="12.75" customHeight="1" x14ac:dyDescent="0.2">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row>
    <row r="604" spans="1:27" ht="12.75" customHeight="1" x14ac:dyDescent="0.2">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row>
    <row r="605" spans="1:27" ht="12.75" customHeight="1" x14ac:dyDescent="0.2">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row>
    <row r="606" spans="1:27" ht="12.75" customHeight="1" x14ac:dyDescent="0.2">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row>
    <row r="607" spans="1:27" ht="12.75" customHeight="1" x14ac:dyDescent="0.2">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row>
    <row r="608" spans="1:27" ht="12.75" customHeight="1" x14ac:dyDescent="0.2">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row>
    <row r="609" spans="1:27" ht="12.75" customHeight="1" x14ac:dyDescent="0.2">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row>
    <row r="610" spans="1:27" ht="12.75" customHeight="1" x14ac:dyDescent="0.2">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row>
    <row r="611" spans="1:27" ht="12.75" customHeight="1" x14ac:dyDescent="0.2">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row>
    <row r="612" spans="1:27" ht="12.75" customHeight="1" x14ac:dyDescent="0.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row>
    <row r="613" spans="1:27" ht="12.75" customHeight="1" x14ac:dyDescent="0.2">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row>
    <row r="614" spans="1:27" ht="12.75" customHeight="1" x14ac:dyDescent="0.2">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row>
    <row r="615" spans="1:27" ht="12.75" customHeight="1" x14ac:dyDescent="0.2">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row>
    <row r="616" spans="1:27" ht="12.75" customHeight="1" x14ac:dyDescent="0.2">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row>
    <row r="617" spans="1:27" ht="12.75" customHeight="1" x14ac:dyDescent="0.2">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row>
    <row r="618" spans="1:27" ht="12.75" customHeight="1" x14ac:dyDescent="0.2">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row>
    <row r="619" spans="1:27" ht="12.75" customHeight="1" x14ac:dyDescent="0.2">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row>
    <row r="620" spans="1:27" ht="12.75" customHeight="1" x14ac:dyDescent="0.2">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row>
    <row r="621" spans="1:27" ht="12.75" customHeight="1" x14ac:dyDescent="0.2">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row>
    <row r="622" spans="1:27" ht="12.75" customHeight="1" x14ac:dyDescent="0.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row>
    <row r="623" spans="1:27" ht="12.75" customHeight="1" x14ac:dyDescent="0.2">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row>
    <row r="624" spans="1:27" ht="12.75" customHeight="1" x14ac:dyDescent="0.2">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row>
    <row r="625" spans="1:27" ht="12.75" customHeight="1" x14ac:dyDescent="0.2">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row>
    <row r="626" spans="1:27" ht="12.75" customHeight="1" x14ac:dyDescent="0.2">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row>
    <row r="627" spans="1:27" ht="12.75" customHeight="1" x14ac:dyDescent="0.2">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row>
    <row r="628" spans="1:27" ht="12.75" customHeight="1" x14ac:dyDescent="0.2">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row>
    <row r="629" spans="1:27" ht="12.75" customHeight="1" x14ac:dyDescent="0.2">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row>
    <row r="630" spans="1:27" ht="12.75" customHeight="1" x14ac:dyDescent="0.2">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row>
    <row r="631" spans="1:27" ht="12.75" customHeight="1" x14ac:dyDescent="0.2">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row>
    <row r="632" spans="1:27" ht="12.75" customHeight="1" x14ac:dyDescent="0.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row>
    <row r="633" spans="1:27" ht="12.75" customHeight="1" x14ac:dyDescent="0.2">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row>
    <row r="634" spans="1:27" ht="12.75" customHeight="1" x14ac:dyDescent="0.2">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row>
    <row r="635" spans="1:27" ht="12.75" customHeight="1" x14ac:dyDescent="0.2">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row>
    <row r="636" spans="1:27" ht="12.75" customHeight="1" x14ac:dyDescent="0.2">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row>
    <row r="637" spans="1:27" ht="12.75" customHeight="1" x14ac:dyDescent="0.2">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row>
    <row r="638" spans="1:27" ht="12.75" customHeight="1" x14ac:dyDescent="0.2">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row>
    <row r="639" spans="1:27" ht="12.75" customHeight="1" x14ac:dyDescent="0.2">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row>
    <row r="640" spans="1:27" ht="12.75" customHeight="1" x14ac:dyDescent="0.2">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row>
    <row r="641" spans="1:27" ht="12.75" customHeight="1" x14ac:dyDescent="0.2">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row>
    <row r="642" spans="1:27" ht="12.75" customHeight="1" x14ac:dyDescent="0.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row>
    <row r="643" spans="1:27" ht="12.75" customHeight="1" x14ac:dyDescent="0.2">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row>
    <row r="644" spans="1:27" ht="12.75" customHeight="1" x14ac:dyDescent="0.2">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row>
    <row r="645" spans="1:27" ht="12.75" customHeight="1" x14ac:dyDescent="0.2">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row>
    <row r="646" spans="1:27" ht="12.75" customHeight="1" x14ac:dyDescent="0.2">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row>
    <row r="647" spans="1:27" ht="12.75" customHeight="1" x14ac:dyDescent="0.2">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row>
    <row r="648" spans="1:27" ht="12.75" customHeight="1" x14ac:dyDescent="0.2">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row>
    <row r="649" spans="1:27" ht="12.75" customHeight="1" x14ac:dyDescent="0.2">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row>
    <row r="650" spans="1:27" ht="12.75" customHeight="1" x14ac:dyDescent="0.2">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row>
    <row r="651" spans="1:27" ht="12.75" customHeight="1" x14ac:dyDescent="0.2">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row>
    <row r="652" spans="1:27" ht="12.75" customHeight="1" x14ac:dyDescent="0.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row>
    <row r="653" spans="1:27" ht="12.75" customHeight="1" x14ac:dyDescent="0.2">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row>
    <row r="654" spans="1:27" ht="12.75" customHeight="1" x14ac:dyDescent="0.2">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row>
    <row r="655" spans="1:27" ht="12.75" customHeight="1" x14ac:dyDescent="0.2">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row>
    <row r="656" spans="1:27" ht="12.75" customHeight="1" x14ac:dyDescent="0.2">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row>
    <row r="657" spans="1:27" ht="12.75" customHeight="1" x14ac:dyDescent="0.2">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row>
    <row r="658" spans="1:27" ht="12.75" customHeight="1" x14ac:dyDescent="0.2">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row>
    <row r="659" spans="1:27" ht="12.75" customHeight="1" x14ac:dyDescent="0.2">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row>
    <row r="660" spans="1:27" ht="12.75" customHeight="1" x14ac:dyDescent="0.2">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row>
    <row r="661" spans="1:27" ht="12.75" customHeight="1" x14ac:dyDescent="0.2">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row>
    <row r="662" spans="1:27" ht="12.75" customHeight="1" x14ac:dyDescent="0.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row>
    <row r="663" spans="1:27" ht="12.75" customHeight="1" x14ac:dyDescent="0.2">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row>
    <row r="664" spans="1:27" ht="12.75" customHeight="1" x14ac:dyDescent="0.2">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row>
    <row r="665" spans="1:27" ht="12.75" customHeight="1" x14ac:dyDescent="0.2">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row>
    <row r="666" spans="1:27" ht="12.75" customHeight="1" x14ac:dyDescent="0.2">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row>
    <row r="667" spans="1:27" ht="12.75" customHeight="1" x14ac:dyDescent="0.2">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row>
    <row r="668" spans="1:27" ht="12.75" customHeight="1" x14ac:dyDescent="0.2">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row>
    <row r="669" spans="1:27" ht="12.75" customHeight="1" x14ac:dyDescent="0.2">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row>
    <row r="670" spans="1:27" ht="12.75" customHeight="1" x14ac:dyDescent="0.2">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row>
    <row r="671" spans="1:27" ht="12.75" customHeight="1" x14ac:dyDescent="0.2">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row>
    <row r="672" spans="1:27" ht="12.75" customHeight="1" x14ac:dyDescent="0.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row>
    <row r="673" spans="1:27" ht="12.75" customHeight="1" x14ac:dyDescent="0.2">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row>
    <row r="674" spans="1:27" ht="12.75" customHeight="1" x14ac:dyDescent="0.2">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row>
    <row r="675" spans="1:27" ht="12.75" customHeight="1" x14ac:dyDescent="0.2">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row>
    <row r="676" spans="1:27" ht="12.75" customHeight="1" x14ac:dyDescent="0.2">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row>
    <row r="677" spans="1:27" ht="12.75" customHeight="1" x14ac:dyDescent="0.2">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row>
    <row r="678" spans="1:27" ht="12.75" customHeight="1" x14ac:dyDescent="0.2">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row>
    <row r="679" spans="1:27" ht="12.75" customHeight="1" x14ac:dyDescent="0.2">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row>
    <row r="680" spans="1:27" ht="12.75" customHeight="1" x14ac:dyDescent="0.2">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row>
    <row r="681" spans="1:27" ht="12.75" customHeight="1" x14ac:dyDescent="0.2">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row>
    <row r="682" spans="1:27" ht="12.75" customHeight="1" x14ac:dyDescent="0.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row>
    <row r="683" spans="1:27" ht="12.75" customHeight="1" x14ac:dyDescent="0.2">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row>
    <row r="684" spans="1:27" ht="12.75" customHeight="1" x14ac:dyDescent="0.2">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row>
    <row r="685" spans="1:27" ht="12.75" customHeight="1" x14ac:dyDescent="0.2">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row>
    <row r="686" spans="1:27" ht="12.75" customHeight="1" x14ac:dyDescent="0.2">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row>
    <row r="687" spans="1:27" ht="12.75" customHeight="1" x14ac:dyDescent="0.2">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row>
    <row r="688" spans="1:27" ht="12.75" customHeight="1" x14ac:dyDescent="0.2">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row>
    <row r="689" spans="1:27" ht="12.75" customHeight="1" x14ac:dyDescent="0.2">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row>
    <row r="690" spans="1:27" ht="12.75" customHeight="1" x14ac:dyDescent="0.2">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row>
    <row r="691" spans="1:27" ht="12.75" customHeight="1" x14ac:dyDescent="0.2">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row>
    <row r="692" spans="1:27" ht="12.75" customHeight="1" x14ac:dyDescent="0.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row>
    <row r="693" spans="1:27" ht="12.75" customHeight="1" x14ac:dyDescent="0.2">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row>
    <row r="694" spans="1:27" ht="12.75" customHeight="1" x14ac:dyDescent="0.2">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row>
    <row r="695" spans="1:27" ht="12.75" customHeight="1" x14ac:dyDescent="0.2">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row>
    <row r="696" spans="1:27" ht="12.75" customHeight="1" x14ac:dyDescent="0.2">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row>
    <row r="697" spans="1:27" ht="12.75" customHeight="1" x14ac:dyDescent="0.2">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row>
    <row r="698" spans="1:27" ht="12.75" customHeight="1" x14ac:dyDescent="0.2">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row>
    <row r="699" spans="1:27" ht="12.75" customHeight="1" x14ac:dyDescent="0.2">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row>
    <row r="700" spans="1:27" ht="12.75" customHeight="1" x14ac:dyDescent="0.2">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row>
    <row r="701" spans="1:27" ht="12.75" customHeight="1" x14ac:dyDescent="0.2">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row>
    <row r="702" spans="1:27" ht="12.75" customHeight="1" x14ac:dyDescent="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row>
    <row r="703" spans="1:27" ht="12.75" customHeight="1" x14ac:dyDescent="0.2">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row>
    <row r="704" spans="1:27" ht="12.75" customHeight="1" x14ac:dyDescent="0.2">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row>
    <row r="705" spans="1:27" ht="12.75" customHeight="1" x14ac:dyDescent="0.2">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row>
    <row r="706" spans="1:27" ht="12.75" customHeight="1" x14ac:dyDescent="0.2">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row>
    <row r="707" spans="1:27" ht="12.75" customHeight="1" x14ac:dyDescent="0.2">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row>
    <row r="708" spans="1:27" ht="12.75" customHeight="1" x14ac:dyDescent="0.2">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row>
    <row r="709" spans="1:27" ht="12.75" customHeight="1" x14ac:dyDescent="0.2">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row>
    <row r="710" spans="1:27" ht="12.75" customHeight="1" x14ac:dyDescent="0.2">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row>
    <row r="711" spans="1:27" ht="12.75" customHeight="1" x14ac:dyDescent="0.2">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row>
    <row r="712" spans="1:27" ht="12.75" customHeight="1" x14ac:dyDescent="0.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row>
    <row r="713" spans="1:27" ht="12.75" customHeight="1" x14ac:dyDescent="0.2">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row>
    <row r="714" spans="1:27" ht="12.75" customHeight="1" x14ac:dyDescent="0.2">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row>
    <row r="715" spans="1:27" ht="12.75" customHeight="1" x14ac:dyDescent="0.2">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row>
    <row r="716" spans="1:27" ht="12.75" customHeight="1" x14ac:dyDescent="0.2">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row>
    <row r="717" spans="1:27" ht="12.75" customHeight="1" x14ac:dyDescent="0.2">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row>
    <row r="718" spans="1:27" ht="12.75" customHeight="1" x14ac:dyDescent="0.2">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row>
    <row r="719" spans="1:27" ht="12.75" customHeight="1" x14ac:dyDescent="0.2">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row>
    <row r="720" spans="1:27" ht="12.75" customHeight="1" x14ac:dyDescent="0.2">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row>
    <row r="721" spans="1:27" ht="12.75" customHeight="1" x14ac:dyDescent="0.2">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row>
    <row r="722" spans="1:27" ht="12.75" customHeight="1" x14ac:dyDescent="0.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row>
    <row r="723" spans="1:27" ht="12.75" customHeight="1" x14ac:dyDescent="0.2">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row>
    <row r="724" spans="1:27" ht="12.75" customHeight="1" x14ac:dyDescent="0.2">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row>
    <row r="725" spans="1:27" ht="12.75" customHeight="1" x14ac:dyDescent="0.2">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row>
    <row r="726" spans="1:27" ht="12.75" customHeight="1" x14ac:dyDescent="0.2">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row>
    <row r="727" spans="1:27" ht="12.75" customHeight="1" x14ac:dyDescent="0.2">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row>
    <row r="728" spans="1:27" ht="12.75" customHeight="1" x14ac:dyDescent="0.2">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row>
    <row r="729" spans="1:27" ht="12.75" customHeight="1" x14ac:dyDescent="0.2">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row>
    <row r="730" spans="1:27" ht="12.75" customHeight="1" x14ac:dyDescent="0.2">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row>
    <row r="731" spans="1:27" ht="12.75" customHeight="1" x14ac:dyDescent="0.2">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row>
    <row r="732" spans="1:27" ht="12.75" customHeight="1" x14ac:dyDescent="0.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row>
    <row r="733" spans="1:27" ht="12.75" customHeight="1" x14ac:dyDescent="0.2">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row>
    <row r="734" spans="1:27" ht="12.75" customHeight="1" x14ac:dyDescent="0.2">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row>
    <row r="735" spans="1:27" ht="12.75" customHeight="1" x14ac:dyDescent="0.2">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row>
    <row r="736" spans="1:27" ht="12.75" customHeight="1" x14ac:dyDescent="0.2">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row>
    <row r="737" spans="1:27" ht="12.75" customHeight="1" x14ac:dyDescent="0.2">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row>
    <row r="738" spans="1:27" ht="12.75" customHeight="1" x14ac:dyDescent="0.2">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row>
    <row r="739" spans="1:27" ht="12.75" customHeight="1" x14ac:dyDescent="0.2">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row>
    <row r="740" spans="1:27" ht="12.75" customHeight="1" x14ac:dyDescent="0.2">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row>
    <row r="741" spans="1:27" ht="12.75" customHeight="1" x14ac:dyDescent="0.2">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row>
    <row r="742" spans="1:27" ht="12.75" customHeight="1" x14ac:dyDescent="0.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row>
    <row r="743" spans="1:27" ht="12.75" customHeight="1" x14ac:dyDescent="0.2">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row>
    <row r="744" spans="1:27" ht="12.75" customHeight="1" x14ac:dyDescent="0.2">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row>
    <row r="745" spans="1:27" ht="12.75" customHeight="1" x14ac:dyDescent="0.2">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row>
    <row r="746" spans="1:27" ht="12.75" customHeight="1" x14ac:dyDescent="0.2">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row>
    <row r="747" spans="1:27" ht="12.75" customHeight="1" x14ac:dyDescent="0.2">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row>
    <row r="748" spans="1:27" ht="12.75" customHeight="1" x14ac:dyDescent="0.2">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row>
    <row r="749" spans="1:27" ht="12.75" customHeight="1" x14ac:dyDescent="0.2">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row>
    <row r="750" spans="1:27" ht="12.75" customHeight="1" x14ac:dyDescent="0.2">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row>
    <row r="751" spans="1:27" ht="12.75" customHeight="1" x14ac:dyDescent="0.2">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row>
    <row r="752" spans="1:27" ht="12.75" customHeight="1" x14ac:dyDescent="0.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row>
    <row r="753" spans="1:27" ht="12.75" customHeight="1" x14ac:dyDescent="0.2">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row>
    <row r="754" spans="1:27" ht="12.75" customHeight="1" x14ac:dyDescent="0.2">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row>
    <row r="755" spans="1:27" ht="12.75" customHeight="1" x14ac:dyDescent="0.2">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row>
    <row r="756" spans="1:27" ht="12.75" customHeight="1" x14ac:dyDescent="0.2">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row>
    <row r="757" spans="1:27" ht="12.75" customHeight="1" x14ac:dyDescent="0.2">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row>
    <row r="758" spans="1:27" ht="12.75" customHeight="1" x14ac:dyDescent="0.2">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row>
    <row r="759" spans="1:27" ht="12.75" customHeight="1" x14ac:dyDescent="0.2">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row>
    <row r="760" spans="1:27" ht="12.75" customHeight="1" x14ac:dyDescent="0.2">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row>
    <row r="761" spans="1:27" ht="12.75" customHeight="1" x14ac:dyDescent="0.2">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row>
    <row r="762" spans="1:27" ht="12.75" customHeight="1" x14ac:dyDescent="0.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row>
    <row r="763" spans="1:27" ht="12.75" customHeight="1" x14ac:dyDescent="0.2">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row>
    <row r="764" spans="1:27" ht="12.75" customHeight="1" x14ac:dyDescent="0.2">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row>
    <row r="765" spans="1:27" ht="12.75" customHeight="1" x14ac:dyDescent="0.2">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row>
    <row r="766" spans="1:27" ht="12.75" customHeight="1" x14ac:dyDescent="0.2">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row>
    <row r="767" spans="1:27" ht="12.75" customHeight="1" x14ac:dyDescent="0.2">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row>
    <row r="768" spans="1:27" ht="12.75" customHeight="1" x14ac:dyDescent="0.2">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row>
    <row r="769" spans="1:27" ht="12.75" customHeight="1" x14ac:dyDescent="0.2">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row>
    <row r="770" spans="1:27" ht="12.75" customHeight="1" x14ac:dyDescent="0.2">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row>
    <row r="771" spans="1:27" ht="12.75" customHeight="1" x14ac:dyDescent="0.2">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row>
    <row r="772" spans="1:27" ht="12.75" customHeight="1" x14ac:dyDescent="0.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row>
    <row r="773" spans="1:27" ht="12.75" customHeight="1" x14ac:dyDescent="0.2">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row>
    <row r="774" spans="1:27" ht="12.75" customHeight="1" x14ac:dyDescent="0.2">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row>
    <row r="775" spans="1:27" ht="12.75" customHeight="1" x14ac:dyDescent="0.2">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row>
    <row r="776" spans="1:27" ht="12.75" customHeight="1" x14ac:dyDescent="0.2">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row>
    <row r="777" spans="1:27" ht="12.75" customHeight="1" x14ac:dyDescent="0.2">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row>
    <row r="778" spans="1:27" ht="12.75" customHeight="1" x14ac:dyDescent="0.2">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row>
    <row r="779" spans="1:27" ht="12.75" customHeight="1" x14ac:dyDescent="0.2">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row>
    <row r="780" spans="1:27" ht="12.75" customHeight="1" x14ac:dyDescent="0.2">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row>
    <row r="781" spans="1:27" ht="12.75" customHeight="1" x14ac:dyDescent="0.2">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row>
    <row r="782" spans="1:27" ht="12.75" customHeight="1" x14ac:dyDescent="0.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row>
    <row r="783" spans="1:27" ht="12.75" customHeight="1" x14ac:dyDescent="0.2">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row>
    <row r="784" spans="1:27" ht="12.75" customHeight="1" x14ac:dyDescent="0.2">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row>
    <row r="785" spans="1:27" ht="12.75" customHeight="1" x14ac:dyDescent="0.2">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row>
    <row r="786" spans="1:27" ht="12.75" customHeight="1" x14ac:dyDescent="0.2">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row>
    <row r="787" spans="1:27" ht="12.75" customHeight="1" x14ac:dyDescent="0.2">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row>
    <row r="788" spans="1:27" ht="12.75" customHeight="1" x14ac:dyDescent="0.2">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row>
    <row r="789" spans="1:27" ht="12.75" customHeight="1" x14ac:dyDescent="0.2">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row>
    <row r="790" spans="1:27" ht="12.75" customHeight="1" x14ac:dyDescent="0.2">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row>
    <row r="791" spans="1:27" ht="12.75" customHeight="1" x14ac:dyDescent="0.2">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row>
    <row r="792" spans="1:27" ht="12.75" customHeight="1" x14ac:dyDescent="0.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row>
    <row r="793" spans="1:27" ht="12.75" customHeight="1" x14ac:dyDescent="0.2">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row>
    <row r="794" spans="1:27" ht="12.75" customHeight="1" x14ac:dyDescent="0.2">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row>
    <row r="795" spans="1:27" ht="12.75" customHeight="1" x14ac:dyDescent="0.2">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row>
    <row r="796" spans="1:27" ht="12.75" customHeight="1" x14ac:dyDescent="0.2">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row>
    <row r="797" spans="1:27" ht="12.75" customHeight="1" x14ac:dyDescent="0.2">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row>
    <row r="798" spans="1:27" ht="12.75" customHeight="1" x14ac:dyDescent="0.2">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row>
    <row r="799" spans="1:27" ht="12.75" customHeight="1" x14ac:dyDescent="0.2">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row>
    <row r="800" spans="1:27" ht="12.75" customHeight="1" x14ac:dyDescent="0.2">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row>
    <row r="801" spans="1:27" ht="12.75" customHeight="1" x14ac:dyDescent="0.2">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row>
    <row r="802" spans="1:27" ht="12.75" customHeight="1" x14ac:dyDescent="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row>
    <row r="803" spans="1:27" ht="12.75" customHeight="1" x14ac:dyDescent="0.2">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row>
    <row r="804" spans="1:27" ht="12.75" customHeight="1" x14ac:dyDescent="0.2">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row>
    <row r="805" spans="1:27" ht="12.75" customHeight="1" x14ac:dyDescent="0.2">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row>
    <row r="806" spans="1:27" ht="12.75" customHeight="1" x14ac:dyDescent="0.2">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row>
    <row r="807" spans="1:27" ht="12.75" customHeight="1" x14ac:dyDescent="0.2">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row>
    <row r="808" spans="1:27" ht="12.75" customHeight="1" x14ac:dyDescent="0.2">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row>
    <row r="809" spans="1:27" ht="12.75" customHeight="1" x14ac:dyDescent="0.2">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row>
    <row r="810" spans="1:27" ht="12.75" customHeight="1" x14ac:dyDescent="0.2">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row>
    <row r="811" spans="1:27" ht="12.75" customHeight="1" x14ac:dyDescent="0.2">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row>
    <row r="812" spans="1:27" ht="12.75" customHeight="1" x14ac:dyDescent="0.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row>
    <row r="813" spans="1:27" ht="12.75" customHeight="1" x14ac:dyDescent="0.2">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row>
    <row r="814" spans="1:27" ht="12.75" customHeight="1" x14ac:dyDescent="0.2">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row>
    <row r="815" spans="1:27" ht="12.75" customHeight="1" x14ac:dyDescent="0.2">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row>
    <row r="816" spans="1:27" ht="12.75" customHeight="1" x14ac:dyDescent="0.2">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row>
    <row r="817" spans="1:27" ht="12.75" customHeight="1" x14ac:dyDescent="0.2">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row>
    <row r="818" spans="1:27" ht="12.75" customHeight="1" x14ac:dyDescent="0.2">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row>
    <row r="819" spans="1:27" ht="12.75" customHeight="1" x14ac:dyDescent="0.2">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row>
    <row r="820" spans="1:27" ht="12.75" customHeight="1" x14ac:dyDescent="0.2">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row>
    <row r="821" spans="1:27" ht="12.75" customHeight="1" x14ac:dyDescent="0.2">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row>
    <row r="822" spans="1:27" ht="12.75" customHeight="1" x14ac:dyDescent="0.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row>
    <row r="823" spans="1:27" ht="12.75" customHeight="1" x14ac:dyDescent="0.2">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row>
    <row r="824" spans="1:27" ht="12.75" customHeight="1" x14ac:dyDescent="0.2">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row>
    <row r="825" spans="1:27" ht="12.75" customHeight="1" x14ac:dyDescent="0.2">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row>
    <row r="826" spans="1:27" ht="12.75" customHeight="1" x14ac:dyDescent="0.2">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row>
    <row r="827" spans="1:27" ht="12.75" customHeight="1" x14ac:dyDescent="0.2">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row>
    <row r="828" spans="1:27" ht="12.75" customHeight="1" x14ac:dyDescent="0.2">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row>
    <row r="829" spans="1:27" ht="12.75" customHeight="1" x14ac:dyDescent="0.2">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row>
    <row r="830" spans="1:27" ht="12.75" customHeight="1" x14ac:dyDescent="0.2">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row>
    <row r="831" spans="1:27" ht="12.75" customHeight="1" x14ac:dyDescent="0.2">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row>
    <row r="832" spans="1:27" ht="12.75" customHeight="1" x14ac:dyDescent="0.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row>
    <row r="833" spans="1:27" ht="12.75" customHeight="1" x14ac:dyDescent="0.2">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row>
    <row r="834" spans="1:27" ht="12.75" customHeight="1" x14ac:dyDescent="0.2">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row>
    <row r="835" spans="1:27" ht="12.75" customHeight="1" x14ac:dyDescent="0.2">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row>
    <row r="836" spans="1:27" ht="12.75" customHeight="1" x14ac:dyDescent="0.2">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row>
    <row r="837" spans="1:27" ht="12.75" customHeight="1" x14ac:dyDescent="0.2">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row>
    <row r="838" spans="1:27" ht="12.75" customHeight="1" x14ac:dyDescent="0.2">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row>
    <row r="839" spans="1:27" ht="12.75" customHeight="1" x14ac:dyDescent="0.2">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row>
    <row r="840" spans="1:27" ht="12.75" customHeight="1" x14ac:dyDescent="0.2">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row>
    <row r="841" spans="1:27" ht="12.75" customHeight="1" x14ac:dyDescent="0.2">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row>
    <row r="842" spans="1:27" ht="12.75" customHeight="1" x14ac:dyDescent="0.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row>
    <row r="843" spans="1:27" ht="12.75" customHeight="1" x14ac:dyDescent="0.2">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row>
    <row r="844" spans="1:27" ht="12.75" customHeight="1" x14ac:dyDescent="0.2">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row>
    <row r="845" spans="1:27" ht="12.75" customHeight="1" x14ac:dyDescent="0.2">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row>
    <row r="846" spans="1:27" ht="12.75" customHeight="1" x14ac:dyDescent="0.2">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row>
    <row r="847" spans="1:27" ht="12.75" customHeight="1" x14ac:dyDescent="0.2">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row>
    <row r="848" spans="1:27" ht="12.75" customHeight="1" x14ac:dyDescent="0.2">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row>
    <row r="849" spans="1:27" ht="12.75" customHeight="1" x14ac:dyDescent="0.2">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row>
    <row r="850" spans="1:27" ht="12.75" customHeight="1" x14ac:dyDescent="0.2">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row>
    <row r="851" spans="1:27" ht="12.75" customHeight="1" x14ac:dyDescent="0.2">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row>
    <row r="852" spans="1:27" ht="12.75" customHeight="1" x14ac:dyDescent="0.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row>
    <row r="853" spans="1:27" ht="12.75" customHeight="1" x14ac:dyDescent="0.2">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row>
    <row r="854" spans="1:27" ht="12.75" customHeight="1" x14ac:dyDescent="0.2">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row>
    <row r="855" spans="1:27" ht="12.75" customHeight="1" x14ac:dyDescent="0.2">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row>
    <row r="856" spans="1:27" ht="12.75" customHeight="1" x14ac:dyDescent="0.2">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row>
    <row r="857" spans="1:27" ht="12.75" customHeight="1" x14ac:dyDescent="0.2">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row>
    <row r="858" spans="1:27" ht="12.75" customHeight="1" x14ac:dyDescent="0.2">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row>
    <row r="859" spans="1:27" ht="12.75" customHeight="1" x14ac:dyDescent="0.2">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row>
    <row r="860" spans="1:27" ht="12.75" customHeight="1" x14ac:dyDescent="0.2">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row>
    <row r="861" spans="1:27" ht="12.75" customHeight="1" x14ac:dyDescent="0.2">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row>
    <row r="862" spans="1:27" ht="12.75" customHeight="1" x14ac:dyDescent="0.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row>
    <row r="863" spans="1:27" ht="12.75" customHeight="1" x14ac:dyDescent="0.2">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row>
    <row r="864" spans="1:27" ht="12.75" customHeight="1" x14ac:dyDescent="0.2">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row>
    <row r="865" spans="1:27" ht="12.75" customHeight="1" x14ac:dyDescent="0.2">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row>
    <row r="866" spans="1:27" ht="12.75" customHeight="1" x14ac:dyDescent="0.2">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row>
    <row r="867" spans="1:27" ht="12.75" customHeight="1" x14ac:dyDescent="0.2">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row>
    <row r="868" spans="1:27" ht="12.75" customHeight="1" x14ac:dyDescent="0.2">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row>
    <row r="869" spans="1:27" ht="12.75" customHeight="1" x14ac:dyDescent="0.2">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row>
    <row r="870" spans="1:27" ht="12.75" customHeight="1" x14ac:dyDescent="0.2">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row>
    <row r="871" spans="1:27" ht="12.75" customHeight="1" x14ac:dyDescent="0.2">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row>
    <row r="872" spans="1:27" ht="12.75" customHeight="1" x14ac:dyDescent="0.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row>
    <row r="873" spans="1:27" ht="12.75" customHeight="1" x14ac:dyDescent="0.2">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row>
    <row r="874" spans="1:27" ht="12.75" customHeight="1" x14ac:dyDescent="0.2">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row>
    <row r="875" spans="1:27" ht="12.75" customHeight="1" x14ac:dyDescent="0.2">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row>
    <row r="876" spans="1:27" ht="12.75" customHeight="1" x14ac:dyDescent="0.2">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row>
    <row r="877" spans="1:27" ht="12.75" customHeight="1" x14ac:dyDescent="0.2">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row>
    <row r="878" spans="1:27" ht="12.75" customHeight="1" x14ac:dyDescent="0.2">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row>
    <row r="879" spans="1:27" ht="12.75" customHeight="1" x14ac:dyDescent="0.2">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row>
    <row r="880" spans="1:27" ht="12.75" customHeight="1" x14ac:dyDescent="0.2">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row>
    <row r="881" spans="1:27" ht="12.75" customHeight="1" x14ac:dyDescent="0.2">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row>
    <row r="882" spans="1:27" ht="12.75" customHeight="1" x14ac:dyDescent="0.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row>
    <row r="883" spans="1:27" ht="12.75" customHeight="1" x14ac:dyDescent="0.2">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row>
    <row r="884" spans="1:27" ht="12.75" customHeight="1" x14ac:dyDescent="0.2">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row>
    <row r="885" spans="1:27" ht="12.75" customHeight="1" x14ac:dyDescent="0.2">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row>
    <row r="886" spans="1:27" ht="12.75" customHeight="1" x14ac:dyDescent="0.2">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row>
    <row r="887" spans="1:27" ht="12.75" customHeight="1" x14ac:dyDescent="0.2">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row>
    <row r="888" spans="1:27" ht="12.75" customHeight="1" x14ac:dyDescent="0.2">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row>
    <row r="889" spans="1:27" ht="12.75" customHeight="1" x14ac:dyDescent="0.2">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row>
    <row r="890" spans="1:27" ht="12.75" customHeight="1" x14ac:dyDescent="0.2">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row>
    <row r="891" spans="1:27" ht="12.75" customHeight="1" x14ac:dyDescent="0.2">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row>
    <row r="892" spans="1:27" ht="12.75" customHeight="1" x14ac:dyDescent="0.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row>
    <row r="893" spans="1:27" ht="12.75" customHeight="1" x14ac:dyDescent="0.2">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row>
    <row r="894" spans="1:27" ht="12.75" customHeight="1" x14ac:dyDescent="0.2">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row>
    <row r="895" spans="1:27" ht="12.75" customHeight="1" x14ac:dyDescent="0.2">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row>
    <row r="896" spans="1:27" ht="12.75" customHeight="1" x14ac:dyDescent="0.2">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row>
    <row r="897" spans="1:27" ht="12.75" customHeight="1" x14ac:dyDescent="0.2">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row>
    <row r="898" spans="1:27" ht="12.75" customHeight="1" x14ac:dyDescent="0.2">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row>
    <row r="899" spans="1:27" ht="12.75" customHeight="1" x14ac:dyDescent="0.2">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row>
    <row r="900" spans="1:27" ht="12.75" customHeight="1" x14ac:dyDescent="0.2">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row>
    <row r="901" spans="1:27" ht="12.75" customHeight="1" x14ac:dyDescent="0.2">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row>
    <row r="902" spans="1:27" ht="12.75" customHeight="1" x14ac:dyDescent="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row>
    <row r="903" spans="1:27" ht="12.75" customHeight="1" x14ac:dyDescent="0.2">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row>
    <row r="904" spans="1:27" ht="12.75" customHeight="1" x14ac:dyDescent="0.2">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row>
    <row r="905" spans="1:27" ht="12.75" customHeight="1" x14ac:dyDescent="0.2">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row>
    <row r="906" spans="1:27" ht="12.75" customHeight="1" x14ac:dyDescent="0.2">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row>
    <row r="907" spans="1:27" ht="12.75" customHeight="1" x14ac:dyDescent="0.2">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row>
    <row r="908" spans="1:27" ht="12.75" customHeight="1" x14ac:dyDescent="0.2">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row>
    <row r="909" spans="1:27" ht="12.75" customHeight="1" x14ac:dyDescent="0.2">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row>
    <row r="910" spans="1:27" ht="12.75" customHeight="1" x14ac:dyDescent="0.2">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row>
    <row r="911" spans="1:27" ht="12.75" customHeight="1" x14ac:dyDescent="0.2">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row>
    <row r="912" spans="1:27" ht="12.75" customHeight="1" x14ac:dyDescent="0.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row>
    <row r="913" spans="1:27" ht="12.75" customHeight="1" x14ac:dyDescent="0.2">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row>
    <row r="914" spans="1:27" ht="12.75" customHeight="1" x14ac:dyDescent="0.2">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row>
    <row r="915" spans="1:27" ht="12.75" customHeight="1" x14ac:dyDescent="0.2">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row>
    <row r="916" spans="1:27" ht="12.75" customHeight="1" x14ac:dyDescent="0.2">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row>
    <row r="917" spans="1:27" ht="12.75" customHeight="1" x14ac:dyDescent="0.2">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row>
    <row r="918" spans="1:27" ht="12.75" customHeight="1" x14ac:dyDescent="0.2">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row>
    <row r="919" spans="1:27" ht="12.75" customHeight="1" x14ac:dyDescent="0.2">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row>
    <row r="920" spans="1:27" ht="12.75" customHeight="1" x14ac:dyDescent="0.2">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row>
    <row r="921" spans="1:27" ht="12.75" customHeight="1" x14ac:dyDescent="0.2">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row>
    <row r="922" spans="1:27" ht="12.75" customHeight="1" x14ac:dyDescent="0.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row>
    <row r="923" spans="1:27" ht="12.75" customHeight="1" x14ac:dyDescent="0.2">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row>
    <row r="924" spans="1:27" ht="12.75" customHeight="1" x14ac:dyDescent="0.2">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row>
    <row r="925" spans="1:27" ht="12.75" customHeight="1" x14ac:dyDescent="0.2">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row>
    <row r="926" spans="1:27" ht="12.75" customHeight="1" x14ac:dyDescent="0.2">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row>
    <row r="927" spans="1:27" ht="12.75" customHeight="1" x14ac:dyDescent="0.2">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row>
    <row r="928" spans="1:27" ht="12.75" customHeight="1" x14ac:dyDescent="0.2">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row>
    <row r="929" spans="1:27" ht="12.75" customHeight="1" x14ac:dyDescent="0.2">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row>
    <row r="930" spans="1:27" ht="12.75" customHeight="1" x14ac:dyDescent="0.2">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row>
    <row r="931" spans="1:27" ht="12.75" customHeight="1" x14ac:dyDescent="0.2">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row>
    <row r="932" spans="1:27" ht="12.75" customHeight="1" x14ac:dyDescent="0.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row>
    <row r="933" spans="1:27" ht="12.75" customHeight="1" x14ac:dyDescent="0.2">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row>
    <row r="934" spans="1:27" ht="12.75" customHeight="1" x14ac:dyDescent="0.2">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row>
    <row r="935" spans="1:27" ht="12.75" customHeight="1" x14ac:dyDescent="0.2">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row>
    <row r="936" spans="1:27" ht="12.75" customHeight="1" x14ac:dyDescent="0.2">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row>
    <row r="937" spans="1:27" ht="12.75" customHeight="1" x14ac:dyDescent="0.2">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row>
    <row r="938" spans="1:27" ht="12.75" customHeight="1" x14ac:dyDescent="0.2">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row>
    <row r="939" spans="1:27" ht="12.75" customHeight="1" x14ac:dyDescent="0.2">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row>
    <row r="940" spans="1:27" ht="12.75" customHeight="1" x14ac:dyDescent="0.2">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row>
    <row r="941" spans="1:27" ht="12.75" customHeight="1" x14ac:dyDescent="0.2">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row>
    <row r="942" spans="1:27" ht="12.75" customHeight="1" x14ac:dyDescent="0.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row>
    <row r="943" spans="1:27" ht="12.75" customHeight="1" x14ac:dyDescent="0.2">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row>
    <row r="944" spans="1:27" ht="12.75" customHeight="1" x14ac:dyDescent="0.2">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row>
    <row r="945" spans="1:27" ht="12.75" customHeight="1" x14ac:dyDescent="0.2">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row>
    <row r="946" spans="1:27" ht="12.75" customHeight="1" x14ac:dyDescent="0.2">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row>
    <row r="947" spans="1:27" ht="12.75" customHeight="1" x14ac:dyDescent="0.2">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row>
    <row r="948" spans="1:27" ht="12.75" customHeight="1" x14ac:dyDescent="0.2">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row>
    <row r="949" spans="1:27" ht="12.75" customHeight="1" x14ac:dyDescent="0.2">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row>
    <row r="950" spans="1:27" ht="12.75" customHeight="1" x14ac:dyDescent="0.2">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row>
    <row r="951" spans="1:27" ht="12.75" customHeight="1" x14ac:dyDescent="0.2">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row>
    <row r="952" spans="1:27" ht="12.75" customHeight="1" x14ac:dyDescent="0.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row>
    <row r="953" spans="1:27" ht="12.75" customHeight="1" x14ac:dyDescent="0.2">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row>
    <row r="954" spans="1:27" ht="12.75" customHeight="1" x14ac:dyDescent="0.2">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row>
    <row r="955" spans="1:27" ht="12.75" customHeight="1" x14ac:dyDescent="0.2">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row>
    <row r="956" spans="1:27" ht="12.75" customHeight="1" x14ac:dyDescent="0.2">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row>
    <row r="957" spans="1:27" ht="12.75" customHeight="1" x14ac:dyDescent="0.2">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row>
    <row r="958" spans="1:27" ht="12.75" customHeight="1" x14ac:dyDescent="0.2">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row>
    <row r="959" spans="1:27" ht="12.75" customHeight="1" x14ac:dyDescent="0.2">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row>
    <row r="960" spans="1:27" ht="12.75" customHeight="1" x14ac:dyDescent="0.2">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row>
    <row r="961" spans="1:27" ht="12.75" customHeight="1" x14ac:dyDescent="0.2">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row>
    <row r="962" spans="1:27" ht="12.75" customHeight="1" x14ac:dyDescent="0.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row>
    <row r="963" spans="1:27" ht="12.75" customHeight="1" x14ac:dyDescent="0.2">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row>
    <row r="964" spans="1:27" ht="12.75" customHeight="1" x14ac:dyDescent="0.2">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row>
    <row r="965" spans="1:27" ht="12.75" customHeight="1" x14ac:dyDescent="0.2">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row>
    <row r="966" spans="1:27" ht="12.75" customHeight="1" x14ac:dyDescent="0.2">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row>
    <row r="967" spans="1:27" ht="12.75" customHeight="1" x14ac:dyDescent="0.2">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row>
    <row r="968" spans="1:27" ht="12.75" customHeight="1" x14ac:dyDescent="0.2">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row>
    <row r="969" spans="1:27" ht="12.75" customHeight="1" x14ac:dyDescent="0.2">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row>
    <row r="970" spans="1:27" ht="12.75" customHeight="1" x14ac:dyDescent="0.2">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row>
    <row r="971" spans="1:27" ht="12.75" customHeight="1" x14ac:dyDescent="0.2">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row>
    <row r="972" spans="1:27" ht="12.75" customHeight="1" x14ac:dyDescent="0.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row>
    <row r="973" spans="1:27" ht="12.75" customHeight="1" x14ac:dyDescent="0.2">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row>
    <row r="974" spans="1:27" ht="12.75" customHeight="1" x14ac:dyDescent="0.2">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row>
    <row r="975" spans="1:27" ht="12.75" customHeight="1" x14ac:dyDescent="0.2">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row>
    <row r="976" spans="1:27" ht="12.75" customHeight="1" x14ac:dyDescent="0.2">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row>
    <row r="977" spans="1:27" ht="12.75" customHeight="1" x14ac:dyDescent="0.2">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row>
    <row r="978" spans="1:27" ht="12.75" customHeight="1" x14ac:dyDescent="0.2">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row>
    <row r="979" spans="1:27" ht="12.75" customHeight="1" x14ac:dyDescent="0.2">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row>
    <row r="980" spans="1:27" ht="12.75" customHeight="1" x14ac:dyDescent="0.2">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row>
    <row r="981" spans="1:27" ht="12.75" customHeight="1" x14ac:dyDescent="0.2">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row>
    <row r="982" spans="1:27" ht="12.75" customHeight="1" x14ac:dyDescent="0.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row>
    <row r="983" spans="1:27" ht="12.75" customHeight="1" x14ac:dyDescent="0.2">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row>
    <row r="984" spans="1:27" ht="12.75" customHeight="1" x14ac:dyDescent="0.2">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row>
    <row r="985" spans="1:27" ht="12.75" customHeight="1" x14ac:dyDescent="0.2">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row>
    <row r="986" spans="1:27" ht="12.75" customHeight="1" x14ac:dyDescent="0.2">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row>
    <row r="987" spans="1:27" ht="12.75" customHeight="1" x14ac:dyDescent="0.2">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row>
    <row r="988" spans="1:27" ht="12.75" customHeight="1" x14ac:dyDescent="0.2">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row>
    <row r="989" spans="1:27" ht="12.75" customHeight="1" x14ac:dyDescent="0.2">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row>
    <row r="990" spans="1:27" ht="12.75" customHeight="1" x14ac:dyDescent="0.2">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row>
    <row r="991" spans="1:27" ht="12.75" customHeight="1" x14ac:dyDescent="0.2">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row>
    <row r="992" spans="1:27" ht="12.75" customHeight="1" x14ac:dyDescent="0.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row>
    <row r="993" spans="1:27" ht="12.75" customHeight="1" x14ac:dyDescent="0.2">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row>
    <row r="994" spans="1:27" ht="12.75" customHeight="1" x14ac:dyDescent="0.2">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row>
    <row r="995" spans="1:27" ht="12.75" customHeight="1" x14ac:dyDescent="0.2">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row>
    <row r="996" spans="1:27" ht="12.75" customHeight="1" x14ac:dyDescent="0.2">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row>
    <row r="997" spans="1:27" ht="12.75" customHeight="1" x14ac:dyDescent="0.2">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row>
    <row r="998" spans="1:27" ht="12.75" customHeight="1" x14ac:dyDescent="0.2">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row>
  </sheetData>
  <mergeCells count="9">
    <mergeCell ref="A18:D18"/>
    <mergeCell ref="A5:I5"/>
    <mergeCell ref="A6:A7"/>
    <mergeCell ref="B6:B7"/>
    <mergeCell ref="C6:C7"/>
    <mergeCell ref="D6:D7"/>
    <mergeCell ref="E6:F6"/>
    <mergeCell ref="G6:H6"/>
    <mergeCell ref="I6:I7"/>
  </mergeCells>
  <pageMargins left="0.7" right="0.7" top="0.75" bottom="0.75" header="0" footer="0"/>
  <pageSetup orientation="landscape"/>
  <ignoredErrors>
    <ignoredError sqref="I8:I17"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7"/>
  <sheetViews>
    <sheetView showGridLines="0" workbookViewId="0">
      <pane ySplit="7" topLeftCell="A8" activePane="bottomLeft" state="frozen"/>
      <selection pane="bottomLeft" activeCell="B26" sqref="B26"/>
    </sheetView>
    <sheetView workbookViewId="1"/>
  </sheetViews>
  <sheetFormatPr defaultColWidth="0" defaultRowHeight="12.75" x14ac:dyDescent="0.2"/>
  <cols>
    <col min="1" max="1" width="33.28515625" style="53" customWidth="1"/>
    <col min="2" max="2" width="91" style="53" customWidth="1"/>
    <col min="3" max="3" width="11" style="53" customWidth="1"/>
    <col min="4" max="4" width="14.7109375" style="53" customWidth="1"/>
    <col min="5" max="5" width="14.42578125" style="53" customWidth="1"/>
    <col min="6" max="6" width="27.7109375" style="53" customWidth="1"/>
    <col min="7" max="8" width="10.42578125" style="53" customWidth="1"/>
    <col min="9" max="9" width="18" style="53" customWidth="1"/>
    <col min="10" max="11" width="5.7109375" style="53" customWidth="1"/>
    <col min="12" max="18" width="5.7109375" style="53" hidden="1" customWidth="1"/>
    <col min="19" max="26" width="10" style="53" hidden="1" customWidth="1"/>
    <col min="27" max="16384" width="12.42578125" style="53" hidden="1"/>
  </cols>
  <sheetData>
    <row r="1" spans="1:25" x14ac:dyDescent="0.2">
      <c r="A1" s="197" t="str">
        <f>'RESUMEN GENERAL'!A3</f>
        <v xml:space="preserve">Título del proyecto:   </v>
      </c>
      <c r="B1" s="198" t="str" cm="1">
        <f t="array" ref="B1:J1">'RESUMEN GENERAL'!B3:J3</f>
        <v xml:space="preserve">Funciones evolutivas del habla dirigida a bebés: Impacto en la atención, las preferencias auditivas y el desarrollo lingüístico y musical temprano </v>
      </c>
      <c r="C1" s="199">
        <v>0</v>
      </c>
      <c r="D1" s="199">
        <v>0</v>
      </c>
      <c r="E1" s="199">
        <v>0</v>
      </c>
      <c r="F1" s="199">
        <v>0</v>
      </c>
      <c r="G1" s="199">
        <v>0</v>
      </c>
      <c r="H1" s="199">
        <v>0</v>
      </c>
      <c r="I1" s="199">
        <v>0</v>
      </c>
      <c r="J1" s="199">
        <v>0</v>
      </c>
    </row>
    <row r="2" spans="1:25" x14ac:dyDescent="0.2">
      <c r="A2" s="197" t="str">
        <f>'RESUMEN GENERAL'!A4</f>
        <v xml:space="preserve">Investigador Principal: </v>
      </c>
      <c r="B2" s="53" t="str" cm="1">
        <f t="array" ref="B2:J2">'RESUMEN GENERAL'!B4:J4</f>
        <v>Juan David Leongómez Peña</v>
      </c>
      <c r="C2" s="199">
        <v>0</v>
      </c>
      <c r="D2" s="199">
        <v>0</v>
      </c>
      <c r="E2" s="199">
        <v>0</v>
      </c>
      <c r="F2" s="199">
        <v>0</v>
      </c>
      <c r="G2" s="199">
        <v>0</v>
      </c>
      <c r="H2" s="199">
        <v>0</v>
      </c>
      <c r="I2" s="199">
        <v>0</v>
      </c>
      <c r="J2" s="199">
        <v>0</v>
      </c>
    </row>
    <row r="4" spans="1:25" x14ac:dyDescent="0.2">
      <c r="A4" s="55" t="s">
        <v>95</v>
      </c>
    </row>
    <row r="5" spans="1:25" ht="93" customHeight="1" x14ac:dyDescent="0.2">
      <c r="A5" s="278" t="s">
        <v>148</v>
      </c>
      <c r="B5" s="278"/>
      <c r="C5" s="278"/>
      <c r="D5" s="278"/>
      <c r="E5" s="278"/>
      <c r="F5" s="278"/>
      <c r="G5" s="278"/>
      <c r="H5" s="278"/>
      <c r="I5" s="278"/>
    </row>
    <row r="6" spans="1:25" x14ac:dyDescent="0.2">
      <c r="A6" s="269" t="s">
        <v>96</v>
      </c>
      <c r="B6" s="269" t="s">
        <v>91</v>
      </c>
      <c r="C6" s="269" t="s">
        <v>92</v>
      </c>
      <c r="D6" s="269" t="s">
        <v>93</v>
      </c>
      <c r="E6" s="269" t="s">
        <v>54</v>
      </c>
      <c r="F6" s="25" t="s">
        <v>32</v>
      </c>
      <c r="G6" s="271" t="s">
        <v>69</v>
      </c>
      <c r="H6" s="277"/>
      <c r="I6" s="269" t="s">
        <v>36</v>
      </c>
    </row>
    <row r="7" spans="1:25" ht="38.25" x14ac:dyDescent="0.2">
      <c r="A7" s="279"/>
      <c r="B7" s="279"/>
      <c r="C7" s="279"/>
      <c r="D7" s="279"/>
      <c r="E7" s="279"/>
      <c r="F7" s="49" t="s">
        <v>94</v>
      </c>
      <c r="G7" s="1" t="s">
        <v>41</v>
      </c>
      <c r="H7" s="1" t="s">
        <v>40</v>
      </c>
      <c r="I7" s="279"/>
    </row>
    <row r="8" spans="1:25" x14ac:dyDescent="0.2">
      <c r="A8" s="19"/>
      <c r="B8" s="20"/>
      <c r="C8" s="20"/>
      <c r="D8" s="21"/>
      <c r="E8" s="21">
        <f>+C8*D8</f>
        <v>0</v>
      </c>
      <c r="F8" s="2">
        <v>0</v>
      </c>
      <c r="G8" s="2"/>
      <c r="H8" s="2"/>
      <c r="I8" s="2">
        <f>SUM(F8:H8)</f>
        <v>0</v>
      </c>
      <c r="J8" s="69"/>
      <c r="K8" s="69"/>
      <c r="L8" s="69"/>
      <c r="M8" s="69"/>
      <c r="N8" s="69"/>
      <c r="O8" s="69"/>
      <c r="P8" s="69"/>
      <c r="Q8" s="69"/>
      <c r="R8" s="69"/>
      <c r="S8" s="69"/>
      <c r="T8" s="69"/>
      <c r="U8" s="69"/>
      <c r="V8" s="69"/>
      <c r="W8" s="69"/>
      <c r="X8" s="69"/>
      <c r="Y8" s="69"/>
    </row>
    <row r="9" spans="1:25" x14ac:dyDescent="0.2">
      <c r="A9" s="19"/>
      <c r="B9" s="20"/>
      <c r="C9" s="20"/>
      <c r="D9" s="21"/>
      <c r="E9" s="21"/>
      <c r="F9" s="2">
        <v>0</v>
      </c>
      <c r="G9" s="2"/>
      <c r="H9" s="2"/>
      <c r="I9" s="2"/>
      <c r="J9" s="69"/>
      <c r="K9" s="69"/>
      <c r="L9" s="69"/>
      <c r="M9" s="69"/>
      <c r="N9" s="69"/>
      <c r="O9" s="69"/>
      <c r="P9" s="69"/>
      <c r="Q9" s="69"/>
      <c r="R9" s="69"/>
      <c r="S9" s="69"/>
      <c r="T9" s="69"/>
      <c r="U9" s="69"/>
      <c r="V9" s="69"/>
      <c r="W9" s="69"/>
      <c r="X9" s="69"/>
      <c r="Y9" s="69"/>
    </row>
    <row r="10" spans="1:25" x14ac:dyDescent="0.2">
      <c r="A10" s="22"/>
      <c r="B10" s="23"/>
      <c r="C10" s="23"/>
      <c r="D10" s="24"/>
      <c r="E10" s="21">
        <f t="shared" ref="E10:E16" si="0">+C10*D10</f>
        <v>0</v>
      </c>
      <c r="F10" s="2">
        <v>0</v>
      </c>
      <c r="G10" s="2"/>
      <c r="H10" s="2"/>
      <c r="I10" s="2">
        <f t="shared" ref="I10:I16" si="1">SUM(F10:H10)</f>
        <v>0</v>
      </c>
      <c r="J10" s="69"/>
      <c r="K10" s="69"/>
      <c r="L10" s="69"/>
      <c r="M10" s="69"/>
      <c r="N10" s="69"/>
      <c r="O10" s="69"/>
      <c r="P10" s="69"/>
      <c r="Q10" s="69"/>
      <c r="R10" s="69"/>
      <c r="S10" s="69"/>
      <c r="T10" s="69"/>
      <c r="U10" s="69"/>
      <c r="V10" s="69"/>
      <c r="W10" s="69"/>
      <c r="X10" s="69"/>
      <c r="Y10" s="69"/>
    </row>
    <row r="11" spans="1:25" x14ac:dyDescent="0.2">
      <c r="A11" s="22"/>
      <c r="B11" s="23"/>
      <c r="C11" s="23"/>
      <c r="D11" s="24"/>
      <c r="E11" s="21">
        <f t="shared" si="0"/>
        <v>0</v>
      </c>
      <c r="F11" s="2">
        <v>0</v>
      </c>
      <c r="G11" s="2"/>
      <c r="H11" s="2"/>
      <c r="I11" s="2">
        <f t="shared" si="1"/>
        <v>0</v>
      </c>
      <c r="J11" s="69"/>
      <c r="K11" s="69"/>
      <c r="L11" s="69"/>
      <c r="M11" s="69"/>
      <c r="N11" s="69"/>
      <c r="O11" s="69"/>
      <c r="P11" s="69"/>
      <c r="Q11" s="69"/>
      <c r="R11" s="69"/>
      <c r="S11" s="69"/>
      <c r="T11" s="69"/>
      <c r="U11" s="69"/>
      <c r="V11" s="69"/>
      <c r="W11" s="69"/>
      <c r="X11" s="69"/>
      <c r="Y11" s="69"/>
    </row>
    <row r="12" spans="1:25" x14ac:dyDescent="0.2">
      <c r="A12" s="22"/>
      <c r="B12" s="23"/>
      <c r="C12" s="23"/>
      <c r="D12" s="24"/>
      <c r="E12" s="21">
        <f t="shared" si="0"/>
        <v>0</v>
      </c>
      <c r="F12" s="2">
        <v>0</v>
      </c>
      <c r="G12" s="2"/>
      <c r="H12" s="2"/>
      <c r="I12" s="2">
        <f t="shared" si="1"/>
        <v>0</v>
      </c>
      <c r="J12" s="69"/>
      <c r="K12" s="69"/>
      <c r="L12" s="69"/>
      <c r="M12" s="69"/>
      <c r="N12" s="69"/>
      <c r="O12" s="69"/>
      <c r="P12" s="69"/>
      <c r="Q12" s="69"/>
      <c r="R12" s="69"/>
      <c r="S12" s="69"/>
      <c r="T12" s="69"/>
      <c r="U12" s="69"/>
      <c r="V12" s="69"/>
      <c r="W12" s="69"/>
      <c r="X12" s="69"/>
      <c r="Y12" s="69"/>
    </row>
    <row r="13" spans="1:25" x14ac:dyDescent="0.2">
      <c r="A13" s="22"/>
      <c r="B13" s="23"/>
      <c r="C13" s="23"/>
      <c r="D13" s="24"/>
      <c r="E13" s="21">
        <f t="shared" si="0"/>
        <v>0</v>
      </c>
      <c r="F13" s="2">
        <v>0</v>
      </c>
      <c r="G13" s="2"/>
      <c r="H13" s="2"/>
      <c r="I13" s="2">
        <f t="shared" si="1"/>
        <v>0</v>
      </c>
      <c r="J13" s="69"/>
      <c r="K13" s="69"/>
      <c r="L13" s="69"/>
      <c r="M13" s="69"/>
      <c r="N13" s="69"/>
      <c r="O13" s="69"/>
      <c r="P13" s="69"/>
      <c r="Q13" s="69"/>
      <c r="R13" s="69"/>
      <c r="S13" s="69"/>
      <c r="T13" s="69"/>
      <c r="U13" s="69"/>
      <c r="V13" s="69"/>
      <c r="W13" s="69"/>
      <c r="X13" s="69"/>
      <c r="Y13" s="69"/>
    </row>
    <row r="14" spans="1:25" x14ac:dyDescent="0.2">
      <c r="A14" s="22"/>
      <c r="B14" s="23"/>
      <c r="C14" s="23"/>
      <c r="D14" s="24"/>
      <c r="E14" s="21">
        <f t="shared" si="0"/>
        <v>0</v>
      </c>
      <c r="F14" s="2">
        <v>0</v>
      </c>
      <c r="G14" s="2"/>
      <c r="H14" s="2"/>
      <c r="I14" s="2">
        <f t="shared" si="1"/>
        <v>0</v>
      </c>
      <c r="J14" s="69"/>
      <c r="K14" s="69"/>
      <c r="L14" s="69"/>
      <c r="M14" s="69"/>
      <c r="N14" s="69"/>
      <c r="O14" s="69"/>
      <c r="P14" s="69"/>
      <c r="Q14" s="69"/>
      <c r="R14" s="69"/>
      <c r="S14" s="69"/>
      <c r="T14" s="69"/>
      <c r="U14" s="69"/>
      <c r="V14" s="69"/>
      <c r="W14" s="69"/>
      <c r="X14" s="69"/>
      <c r="Y14" s="69"/>
    </row>
    <row r="15" spans="1:25" x14ac:dyDescent="0.2">
      <c r="A15" s="7"/>
      <c r="B15" s="23"/>
      <c r="C15" s="23"/>
      <c r="D15" s="24"/>
      <c r="E15" s="21">
        <f t="shared" si="0"/>
        <v>0</v>
      </c>
      <c r="F15" s="2">
        <v>0</v>
      </c>
      <c r="G15" s="2"/>
      <c r="H15" s="2"/>
      <c r="I15" s="2">
        <f t="shared" si="1"/>
        <v>0</v>
      </c>
      <c r="J15" s="69"/>
      <c r="K15" s="69"/>
      <c r="L15" s="69"/>
      <c r="M15" s="69"/>
      <c r="N15" s="69"/>
      <c r="O15" s="69"/>
      <c r="P15" s="69"/>
      <c r="Q15" s="69"/>
      <c r="R15" s="69"/>
      <c r="S15" s="69"/>
      <c r="T15" s="69"/>
      <c r="U15" s="69"/>
      <c r="V15" s="69"/>
      <c r="W15" s="69"/>
      <c r="X15" s="69"/>
      <c r="Y15" s="69"/>
    </row>
    <row r="16" spans="1:25" x14ac:dyDescent="0.2">
      <c r="A16" s="9"/>
      <c r="B16" s="10"/>
      <c r="C16" s="10"/>
      <c r="D16" s="2"/>
      <c r="E16" s="21">
        <f t="shared" si="0"/>
        <v>0</v>
      </c>
      <c r="F16" s="2">
        <v>0</v>
      </c>
      <c r="G16" s="2"/>
      <c r="H16" s="2"/>
      <c r="I16" s="2">
        <f t="shared" si="1"/>
        <v>0</v>
      </c>
      <c r="J16" s="67"/>
      <c r="K16" s="67"/>
      <c r="L16" s="67"/>
      <c r="M16" s="67"/>
      <c r="N16" s="67"/>
      <c r="O16" s="67"/>
      <c r="P16" s="67"/>
      <c r="Q16" s="67"/>
      <c r="R16" s="67"/>
      <c r="S16" s="67"/>
      <c r="T16" s="67"/>
      <c r="U16" s="67"/>
      <c r="V16" s="67"/>
      <c r="W16" s="67"/>
      <c r="X16" s="67"/>
      <c r="Y16" s="67"/>
    </row>
    <row r="17" spans="1:25" x14ac:dyDescent="0.2">
      <c r="A17" s="275" t="s">
        <v>97</v>
      </c>
      <c r="B17" s="276"/>
      <c r="C17" s="276"/>
      <c r="D17" s="277"/>
      <c r="E17" s="193">
        <f t="shared" ref="E17:I17" si="2">SUM(E8:E16)</f>
        <v>0</v>
      </c>
      <c r="F17" s="193">
        <f t="shared" si="2"/>
        <v>0</v>
      </c>
      <c r="G17" s="193">
        <f t="shared" si="2"/>
        <v>0</v>
      </c>
      <c r="H17" s="193">
        <f t="shared" si="2"/>
        <v>0</v>
      </c>
      <c r="I17" s="193">
        <f t="shared" si="2"/>
        <v>0</v>
      </c>
      <c r="J17" s="67"/>
      <c r="K17" s="67"/>
      <c r="L17" s="67"/>
      <c r="M17" s="67"/>
      <c r="N17" s="67"/>
      <c r="O17" s="67"/>
      <c r="P17" s="67"/>
      <c r="Q17" s="67"/>
      <c r="R17" s="67"/>
      <c r="S17" s="67"/>
      <c r="T17" s="67"/>
      <c r="U17" s="67"/>
      <c r="V17" s="67"/>
      <c r="W17" s="67"/>
      <c r="X17" s="67"/>
      <c r="Y17" s="67"/>
    </row>
    <row r="18" spans="1:25" x14ac:dyDescent="0.2">
      <c r="A18" s="67"/>
      <c r="B18" s="67"/>
      <c r="C18" s="67"/>
      <c r="D18" s="67"/>
      <c r="E18" s="67"/>
      <c r="F18" s="67"/>
      <c r="G18" s="67"/>
      <c r="H18" s="67"/>
      <c r="I18" s="67"/>
      <c r="J18" s="67"/>
      <c r="K18" s="67"/>
      <c r="L18" s="67"/>
      <c r="M18" s="67"/>
      <c r="N18" s="67"/>
      <c r="O18" s="67"/>
      <c r="P18" s="67"/>
      <c r="Q18" s="67"/>
      <c r="R18" s="67"/>
      <c r="S18" s="67"/>
      <c r="T18" s="67"/>
      <c r="U18" s="67"/>
      <c r="V18" s="67"/>
      <c r="W18" s="67"/>
      <c r="X18" s="67"/>
      <c r="Y18" s="67"/>
    </row>
    <row r="19" spans="1:25" x14ac:dyDescent="0.2">
      <c r="A19" s="67"/>
      <c r="B19" s="67"/>
      <c r="C19" s="67"/>
      <c r="D19" s="67"/>
      <c r="E19" s="67"/>
      <c r="F19" s="67"/>
      <c r="G19" s="67"/>
      <c r="H19" s="67"/>
      <c r="I19" s="67"/>
      <c r="J19" s="67"/>
      <c r="K19" s="67"/>
      <c r="L19" s="67"/>
      <c r="M19" s="67"/>
      <c r="N19" s="67"/>
      <c r="O19" s="67"/>
      <c r="P19" s="67"/>
      <c r="Q19" s="67"/>
      <c r="R19" s="67"/>
      <c r="S19" s="67"/>
      <c r="T19" s="67"/>
      <c r="U19" s="67"/>
      <c r="V19" s="67"/>
      <c r="W19" s="67"/>
      <c r="X19" s="67"/>
      <c r="Y19" s="67"/>
    </row>
    <row r="20" spans="1:25" x14ac:dyDescent="0.2">
      <c r="A20" s="68"/>
      <c r="B20" s="68"/>
      <c r="C20" s="68"/>
      <c r="D20" s="68"/>
      <c r="E20" s="68"/>
      <c r="F20" s="68"/>
      <c r="G20" s="67"/>
      <c r="H20" s="67"/>
      <c r="I20" s="67"/>
      <c r="J20" s="67"/>
      <c r="K20" s="67"/>
      <c r="L20" s="67"/>
      <c r="M20" s="67"/>
      <c r="N20" s="67"/>
      <c r="O20" s="67"/>
      <c r="P20" s="67"/>
      <c r="Q20" s="67"/>
      <c r="R20" s="67"/>
      <c r="S20" s="67"/>
      <c r="T20" s="67"/>
      <c r="U20" s="67"/>
      <c r="V20" s="67"/>
      <c r="W20" s="67"/>
      <c r="X20" s="67"/>
      <c r="Y20" s="67"/>
    </row>
    <row r="21" spans="1:25" x14ac:dyDescent="0.2">
      <c r="A21" s="68"/>
      <c r="B21" s="68"/>
      <c r="C21" s="68"/>
      <c r="D21" s="68"/>
      <c r="E21" s="68"/>
      <c r="F21" s="68"/>
      <c r="G21" s="67"/>
      <c r="H21" s="67"/>
      <c r="I21" s="67"/>
      <c r="J21" s="67"/>
      <c r="K21" s="67"/>
      <c r="L21" s="67"/>
      <c r="M21" s="67"/>
      <c r="N21" s="67"/>
      <c r="O21" s="67"/>
      <c r="P21" s="67"/>
      <c r="Q21" s="67"/>
      <c r="R21" s="67"/>
      <c r="S21" s="67"/>
      <c r="T21" s="67"/>
      <c r="U21" s="67"/>
      <c r="V21" s="67"/>
      <c r="W21" s="67"/>
      <c r="X21" s="67"/>
      <c r="Y21" s="67"/>
    </row>
    <row r="22" spans="1:25" x14ac:dyDescent="0.2">
      <c r="A22" s="67"/>
      <c r="B22" s="67"/>
      <c r="C22" s="67"/>
      <c r="D22" s="67"/>
      <c r="E22" s="67"/>
      <c r="F22" s="67"/>
      <c r="G22" s="67"/>
      <c r="H22" s="67"/>
      <c r="I22" s="67"/>
      <c r="J22" s="67"/>
      <c r="K22" s="67"/>
      <c r="L22" s="67"/>
      <c r="M22" s="67"/>
      <c r="N22" s="67"/>
      <c r="O22" s="67"/>
      <c r="P22" s="67"/>
      <c r="Q22" s="67"/>
      <c r="R22" s="67"/>
      <c r="S22" s="67"/>
      <c r="T22" s="67"/>
      <c r="U22" s="67"/>
      <c r="V22" s="67"/>
      <c r="W22" s="67"/>
      <c r="X22" s="67"/>
      <c r="Y22" s="67"/>
    </row>
    <row r="23" spans="1:25" x14ac:dyDescent="0.2">
      <c r="A23" s="67"/>
      <c r="B23" s="67"/>
      <c r="C23" s="67"/>
      <c r="D23" s="67"/>
      <c r="E23" s="67"/>
      <c r="F23" s="67"/>
      <c r="G23" s="67"/>
      <c r="H23" s="67"/>
      <c r="I23" s="67"/>
      <c r="J23" s="67"/>
      <c r="K23" s="67"/>
      <c r="L23" s="67"/>
      <c r="M23" s="67"/>
      <c r="N23" s="67"/>
      <c r="O23" s="67"/>
      <c r="P23" s="67"/>
      <c r="Q23" s="67"/>
      <c r="R23" s="67"/>
      <c r="S23" s="67"/>
      <c r="T23" s="67"/>
      <c r="U23" s="67"/>
      <c r="V23" s="67"/>
      <c r="W23" s="67"/>
      <c r="X23" s="67"/>
      <c r="Y23" s="67"/>
    </row>
    <row r="24" spans="1:25" x14ac:dyDescent="0.2">
      <c r="A24" s="67"/>
      <c r="B24" s="67"/>
      <c r="C24" s="67"/>
      <c r="D24" s="67"/>
      <c r="E24" s="67"/>
      <c r="F24" s="67"/>
      <c r="G24" s="67"/>
      <c r="H24" s="67"/>
      <c r="I24" s="67"/>
      <c r="J24" s="67"/>
      <c r="K24" s="67"/>
      <c r="L24" s="67"/>
      <c r="M24" s="67"/>
      <c r="N24" s="67"/>
      <c r="O24" s="67"/>
      <c r="P24" s="67"/>
      <c r="Q24" s="67"/>
      <c r="R24" s="67"/>
      <c r="S24" s="67"/>
      <c r="T24" s="67"/>
      <c r="U24" s="67"/>
      <c r="V24" s="67"/>
      <c r="W24" s="67"/>
      <c r="X24" s="67"/>
      <c r="Y24" s="67"/>
    </row>
    <row r="25" spans="1:25" x14ac:dyDescent="0.2">
      <c r="A25" s="67"/>
      <c r="B25" s="67"/>
      <c r="C25" s="67"/>
      <c r="D25" s="67"/>
      <c r="E25" s="67"/>
      <c r="F25" s="67"/>
      <c r="G25" s="67"/>
      <c r="H25" s="67"/>
      <c r="I25" s="67"/>
      <c r="J25" s="67"/>
      <c r="K25" s="67"/>
      <c r="L25" s="67"/>
      <c r="M25" s="67"/>
      <c r="N25" s="67"/>
      <c r="O25" s="67"/>
      <c r="P25" s="67"/>
      <c r="Q25" s="67"/>
      <c r="R25" s="67"/>
      <c r="S25" s="67"/>
      <c r="T25" s="67"/>
      <c r="U25" s="67"/>
      <c r="V25" s="67"/>
      <c r="W25" s="67"/>
      <c r="X25" s="67"/>
      <c r="Y25" s="67"/>
    </row>
    <row r="26" spans="1:25" x14ac:dyDescent="0.2">
      <c r="A26" s="67"/>
      <c r="B26" s="67"/>
      <c r="C26" s="67"/>
      <c r="D26" s="67"/>
      <c r="E26" s="67"/>
      <c r="F26" s="67"/>
      <c r="G26" s="67"/>
      <c r="H26" s="67"/>
      <c r="I26" s="67"/>
      <c r="J26" s="67"/>
      <c r="K26" s="67"/>
      <c r="L26" s="67"/>
      <c r="M26" s="67"/>
      <c r="N26" s="67"/>
      <c r="O26" s="67"/>
      <c r="P26" s="67"/>
      <c r="Q26" s="67"/>
      <c r="R26" s="67"/>
      <c r="S26" s="67"/>
      <c r="T26" s="67"/>
      <c r="U26" s="67"/>
      <c r="V26" s="67"/>
      <c r="W26" s="67"/>
      <c r="X26" s="67"/>
      <c r="Y26" s="67"/>
    </row>
    <row r="27" spans="1:25" x14ac:dyDescent="0.2">
      <c r="A27" s="67"/>
      <c r="B27" s="67"/>
      <c r="C27" s="67"/>
      <c r="D27" s="67"/>
      <c r="E27" s="67"/>
      <c r="F27" s="67"/>
      <c r="G27" s="67"/>
      <c r="H27" s="67"/>
      <c r="I27" s="67"/>
      <c r="J27" s="67"/>
      <c r="K27" s="67"/>
      <c r="L27" s="67"/>
      <c r="M27" s="67"/>
      <c r="N27" s="67"/>
      <c r="O27" s="67"/>
      <c r="P27" s="67"/>
      <c r="Q27" s="67"/>
      <c r="R27" s="67"/>
      <c r="S27" s="67"/>
      <c r="T27" s="67"/>
      <c r="U27" s="67"/>
      <c r="V27" s="67"/>
      <c r="W27" s="67"/>
      <c r="X27" s="67"/>
      <c r="Y27" s="67"/>
    </row>
    <row r="28" spans="1:25" x14ac:dyDescent="0.2">
      <c r="A28" s="67"/>
      <c r="B28" s="67"/>
      <c r="C28" s="67"/>
      <c r="D28" s="67"/>
      <c r="E28" s="67"/>
      <c r="F28" s="67"/>
      <c r="G28" s="67"/>
      <c r="H28" s="67"/>
      <c r="I28" s="67"/>
      <c r="J28" s="67"/>
      <c r="K28" s="67"/>
      <c r="L28" s="67"/>
      <c r="M28" s="67"/>
      <c r="N28" s="67"/>
      <c r="O28" s="67"/>
      <c r="P28" s="67"/>
      <c r="Q28" s="67"/>
      <c r="R28" s="67"/>
      <c r="S28" s="67"/>
      <c r="T28" s="67"/>
      <c r="U28" s="67"/>
      <c r="V28" s="67"/>
      <c r="W28" s="67"/>
      <c r="X28" s="67"/>
      <c r="Y28" s="67"/>
    </row>
    <row r="29" spans="1:25" x14ac:dyDescent="0.2">
      <c r="A29" s="67"/>
      <c r="B29" s="67"/>
      <c r="C29" s="67"/>
      <c r="D29" s="67"/>
      <c r="E29" s="67"/>
      <c r="F29" s="67"/>
      <c r="G29" s="67"/>
      <c r="H29" s="67"/>
      <c r="I29" s="67"/>
      <c r="J29" s="67"/>
      <c r="K29" s="67"/>
      <c r="L29" s="67"/>
      <c r="M29" s="67"/>
      <c r="N29" s="67"/>
      <c r="O29" s="67"/>
      <c r="P29" s="67"/>
      <c r="Q29" s="67"/>
      <c r="R29" s="67"/>
      <c r="S29" s="67"/>
      <c r="T29" s="67"/>
      <c r="U29" s="67"/>
      <c r="V29" s="67"/>
      <c r="W29" s="67"/>
      <c r="X29" s="67"/>
      <c r="Y29" s="67"/>
    </row>
    <row r="30" spans="1:25" x14ac:dyDescent="0.2">
      <c r="A30" s="67"/>
      <c r="B30" s="67"/>
      <c r="C30" s="67"/>
      <c r="D30" s="67"/>
      <c r="E30" s="67"/>
      <c r="F30" s="67"/>
      <c r="G30" s="67"/>
      <c r="H30" s="67"/>
      <c r="I30" s="67"/>
      <c r="J30" s="67"/>
      <c r="K30" s="67"/>
      <c r="L30" s="67"/>
      <c r="M30" s="67"/>
      <c r="N30" s="67"/>
      <c r="O30" s="67"/>
      <c r="P30" s="67"/>
      <c r="Q30" s="67"/>
      <c r="R30" s="67"/>
      <c r="S30" s="67"/>
      <c r="T30" s="67"/>
      <c r="U30" s="67"/>
      <c r="V30" s="67"/>
      <c r="W30" s="67"/>
      <c r="X30" s="67"/>
      <c r="Y30" s="67"/>
    </row>
    <row r="31" spans="1:25" x14ac:dyDescent="0.2">
      <c r="A31" s="67"/>
      <c r="B31" s="67"/>
      <c r="C31" s="67"/>
      <c r="D31" s="67"/>
      <c r="E31" s="67"/>
      <c r="F31" s="67"/>
      <c r="G31" s="67"/>
      <c r="H31" s="67"/>
      <c r="I31" s="67"/>
      <c r="J31" s="67"/>
      <c r="K31" s="67"/>
      <c r="L31" s="67"/>
      <c r="M31" s="67"/>
      <c r="N31" s="67"/>
      <c r="O31" s="67"/>
      <c r="P31" s="67"/>
      <c r="Q31" s="67"/>
      <c r="R31" s="67"/>
      <c r="S31" s="67"/>
      <c r="T31" s="67"/>
      <c r="U31" s="67"/>
      <c r="V31" s="67"/>
      <c r="W31" s="67"/>
      <c r="X31" s="67"/>
      <c r="Y31" s="67"/>
    </row>
    <row r="32" spans="1:25" x14ac:dyDescent="0.2">
      <c r="A32" s="67"/>
      <c r="B32" s="67"/>
      <c r="C32" s="67"/>
      <c r="D32" s="67"/>
      <c r="E32" s="67"/>
      <c r="F32" s="67"/>
      <c r="G32" s="67"/>
      <c r="H32" s="67"/>
      <c r="I32" s="67"/>
      <c r="J32" s="67"/>
      <c r="K32" s="67"/>
      <c r="L32" s="67"/>
      <c r="M32" s="67"/>
      <c r="N32" s="67"/>
      <c r="O32" s="67"/>
      <c r="P32" s="67"/>
      <c r="Q32" s="67"/>
      <c r="R32" s="67"/>
      <c r="S32" s="67"/>
      <c r="T32" s="67"/>
      <c r="U32" s="67"/>
      <c r="V32" s="67"/>
      <c r="W32" s="67"/>
      <c r="X32" s="67"/>
      <c r="Y32" s="67"/>
    </row>
    <row r="33" spans="1:25" x14ac:dyDescent="0.2">
      <c r="A33" s="67"/>
      <c r="B33" s="67"/>
      <c r="C33" s="67"/>
      <c r="D33" s="67"/>
      <c r="E33" s="67"/>
      <c r="F33" s="67"/>
      <c r="G33" s="67"/>
      <c r="H33" s="67"/>
      <c r="I33" s="67"/>
      <c r="J33" s="67"/>
      <c r="K33" s="67"/>
      <c r="L33" s="67"/>
      <c r="M33" s="67"/>
      <c r="N33" s="67"/>
      <c r="O33" s="67"/>
      <c r="P33" s="67"/>
      <c r="Q33" s="67"/>
      <c r="R33" s="67"/>
      <c r="S33" s="67"/>
      <c r="T33" s="67"/>
      <c r="U33" s="67"/>
      <c r="V33" s="67"/>
      <c r="W33" s="67"/>
      <c r="X33" s="67"/>
      <c r="Y33" s="67"/>
    </row>
    <row r="34" spans="1:25" x14ac:dyDescent="0.2">
      <c r="A34" s="67"/>
      <c r="B34" s="67"/>
      <c r="C34" s="67"/>
      <c r="D34" s="67"/>
      <c r="E34" s="67"/>
      <c r="F34" s="67"/>
      <c r="G34" s="67"/>
      <c r="H34" s="67"/>
      <c r="I34" s="67"/>
      <c r="J34" s="67"/>
      <c r="K34" s="67"/>
      <c r="L34" s="67"/>
      <c r="M34" s="67"/>
      <c r="N34" s="67"/>
      <c r="O34" s="67"/>
      <c r="P34" s="67"/>
      <c r="Q34" s="67"/>
      <c r="R34" s="67"/>
      <c r="S34" s="67"/>
      <c r="T34" s="67"/>
      <c r="U34" s="67"/>
      <c r="V34" s="67"/>
      <c r="W34" s="67"/>
      <c r="X34" s="67"/>
      <c r="Y34" s="67"/>
    </row>
    <row r="35" spans="1:25" x14ac:dyDescent="0.2">
      <c r="A35" s="67"/>
      <c r="B35" s="67"/>
      <c r="C35" s="67"/>
      <c r="D35" s="67"/>
      <c r="E35" s="67"/>
      <c r="F35" s="67"/>
      <c r="G35" s="67"/>
      <c r="H35" s="67"/>
      <c r="I35" s="67"/>
      <c r="J35" s="67"/>
      <c r="K35" s="67"/>
      <c r="L35" s="67"/>
      <c r="M35" s="67"/>
      <c r="N35" s="67"/>
      <c r="O35" s="67"/>
      <c r="P35" s="67"/>
      <c r="Q35" s="67"/>
      <c r="R35" s="67"/>
      <c r="S35" s="67"/>
      <c r="T35" s="67"/>
      <c r="U35" s="67"/>
      <c r="V35" s="67"/>
      <c r="W35" s="67"/>
      <c r="X35" s="67"/>
      <c r="Y35" s="67"/>
    </row>
    <row r="36" spans="1:25" x14ac:dyDescent="0.2">
      <c r="A36" s="67"/>
      <c r="B36" s="67"/>
      <c r="C36" s="67"/>
      <c r="D36" s="67"/>
      <c r="E36" s="67"/>
      <c r="F36" s="67"/>
      <c r="G36" s="67"/>
      <c r="H36" s="67"/>
      <c r="I36" s="67"/>
      <c r="J36" s="67"/>
      <c r="K36" s="67"/>
      <c r="L36" s="67"/>
      <c r="M36" s="67"/>
      <c r="N36" s="67"/>
      <c r="O36" s="67"/>
      <c r="P36" s="67"/>
      <c r="Q36" s="67"/>
      <c r="R36" s="67"/>
      <c r="S36" s="67"/>
      <c r="T36" s="67"/>
      <c r="U36" s="67"/>
      <c r="V36" s="67"/>
      <c r="W36" s="67"/>
      <c r="X36" s="67"/>
      <c r="Y36" s="67"/>
    </row>
    <row r="37" spans="1:25" x14ac:dyDescent="0.2">
      <c r="A37" s="67"/>
      <c r="B37" s="67"/>
      <c r="C37" s="67"/>
      <c r="D37" s="67"/>
      <c r="E37" s="67"/>
      <c r="F37" s="67"/>
      <c r="G37" s="67"/>
      <c r="H37" s="67"/>
      <c r="I37" s="67"/>
      <c r="J37" s="67"/>
      <c r="K37" s="67"/>
      <c r="L37" s="67"/>
      <c r="M37" s="67"/>
      <c r="N37" s="67"/>
      <c r="O37" s="67"/>
      <c r="P37" s="67"/>
      <c r="Q37" s="67"/>
      <c r="R37" s="67"/>
      <c r="S37" s="67"/>
      <c r="T37" s="67"/>
      <c r="U37" s="67"/>
      <c r="V37" s="67"/>
      <c r="W37" s="67"/>
      <c r="X37" s="67"/>
      <c r="Y37" s="67"/>
    </row>
    <row r="38" spans="1:25" x14ac:dyDescent="0.2">
      <c r="A38" s="67"/>
      <c r="B38" s="67"/>
      <c r="C38" s="67"/>
      <c r="D38" s="67"/>
      <c r="E38" s="67"/>
      <c r="F38" s="67"/>
      <c r="G38" s="67"/>
      <c r="H38" s="67"/>
      <c r="I38" s="67"/>
      <c r="J38" s="67"/>
      <c r="K38" s="67"/>
      <c r="L38" s="67"/>
      <c r="M38" s="67"/>
      <c r="N38" s="67"/>
      <c r="O38" s="67"/>
      <c r="P38" s="67"/>
      <c r="Q38" s="67"/>
      <c r="R38" s="67"/>
      <c r="S38" s="67"/>
      <c r="T38" s="67"/>
      <c r="U38" s="67"/>
      <c r="V38" s="67"/>
      <c r="W38" s="67"/>
      <c r="X38" s="67"/>
      <c r="Y38" s="67"/>
    </row>
    <row r="39" spans="1:25" x14ac:dyDescent="0.2">
      <c r="A39" s="67"/>
      <c r="B39" s="67"/>
      <c r="C39" s="67"/>
      <c r="D39" s="67"/>
      <c r="E39" s="67"/>
      <c r="F39" s="67"/>
      <c r="G39" s="67"/>
      <c r="H39" s="67"/>
      <c r="I39" s="67"/>
      <c r="J39" s="67"/>
      <c r="K39" s="67"/>
      <c r="L39" s="67"/>
      <c r="M39" s="67"/>
      <c r="N39" s="67"/>
      <c r="O39" s="67"/>
      <c r="P39" s="67"/>
      <c r="Q39" s="67"/>
      <c r="R39" s="67"/>
      <c r="S39" s="67"/>
      <c r="T39" s="67"/>
      <c r="U39" s="67"/>
      <c r="V39" s="67"/>
      <c r="W39" s="67"/>
      <c r="X39" s="67"/>
      <c r="Y39" s="67"/>
    </row>
    <row r="40" spans="1:25" x14ac:dyDescent="0.2">
      <c r="A40" s="67"/>
      <c r="B40" s="67"/>
      <c r="C40" s="67"/>
      <c r="D40" s="67"/>
      <c r="E40" s="67"/>
      <c r="F40" s="67"/>
      <c r="G40" s="67"/>
      <c r="H40" s="67"/>
      <c r="I40" s="67"/>
      <c r="J40" s="67"/>
      <c r="K40" s="67"/>
      <c r="L40" s="67"/>
      <c r="M40" s="67"/>
      <c r="N40" s="67"/>
      <c r="O40" s="67"/>
      <c r="P40" s="67"/>
      <c r="Q40" s="67"/>
      <c r="R40" s="67"/>
      <c r="S40" s="67"/>
      <c r="T40" s="67"/>
      <c r="U40" s="67"/>
      <c r="V40" s="67"/>
      <c r="W40" s="67"/>
      <c r="X40" s="67"/>
      <c r="Y40" s="67"/>
    </row>
    <row r="41" spans="1:25" x14ac:dyDescent="0.2">
      <c r="A41" s="67"/>
      <c r="B41" s="67"/>
      <c r="C41" s="67"/>
      <c r="D41" s="67"/>
      <c r="E41" s="67"/>
      <c r="F41" s="67"/>
      <c r="G41" s="67"/>
      <c r="H41" s="67"/>
      <c r="I41" s="67"/>
      <c r="J41" s="67"/>
      <c r="K41" s="67"/>
      <c r="L41" s="67"/>
      <c r="M41" s="67"/>
      <c r="N41" s="67"/>
      <c r="O41" s="67"/>
      <c r="P41" s="67"/>
      <c r="Q41" s="67"/>
      <c r="R41" s="67"/>
      <c r="S41" s="67"/>
      <c r="T41" s="67"/>
      <c r="U41" s="67"/>
      <c r="V41" s="67"/>
      <c r="W41" s="67"/>
      <c r="X41" s="67"/>
      <c r="Y41" s="67"/>
    </row>
    <row r="42" spans="1:25" x14ac:dyDescent="0.2">
      <c r="A42" s="67"/>
      <c r="B42" s="67"/>
      <c r="C42" s="67"/>
      <c r="D42" s="67"/>
      <c r="E42" s="67"/>
      <c r="F42" s="67"/>
      <c r="G42" s="67"/>
      <c r="H42" s="67"/>
      <c r="I42" s="67"/>
      <c r="J42" s="67"/>
      <c r="K42" s="67"/>
      <c r="L42" s="67"/>
      <c r="M42" s="67"/>
      <c r="N42" s="67"/>
      <c r="O42" s="67"/>
      <c r="P42" s="67"/>
      <c r="Q42" s="67"/>
      <c r="R42" s="67"/>
      <c r="S42" s="67"/>
      <c r="T42" s="67"/>
      <c r="U42" s="67"/>
      <c r="V42" s="67"/>
      <c r="W42" s="67"/>
      <c r="X42" s="67"/>
      <c r="Y42" s="67"/>
    </row>
    <row r="43" spans="1:25" x14ac:dyDescent="0.2">
      <c r="A43" s="67"/>
      <c r="B43" s="67"/>
      <c r="C43" s="67"/>
      <c r="D43" s="67"/>
      <c r="E43" s="67"/>
      <c r="F43" s="67"/>
      <c r="G43" s="67"/>
      <c r="H43" s="67"/>
      <c r="I43" s="67"/>
      <c r="J43" s="67"/>
      <c r="K43" s="67"/>
      <c r="L43" s="67"/>
      <c r="M43" s="67"/>
      <c r="N43" s="67"/>
      <c r="O43" s="67"/>
      <c r="P43" s="67"/>
      <c r="Q43" s="67"/>
      <c r="R43" s="67"/>
      <c r="S43" s="67"/>
      <c r="T43" s="67"/>
      <c r="U43" s="67"/>
      <c r="V43" s="67"/>
      <c r="W43" s="67"/>
      <c r="X43" s="67"/>
      <c r="Y43" s="67"/>
    </row>
    <row r="44" spans="1:25" x14ac:dyDescent="0.2">
      <c r="A44" s="67"/>
      <c r="B44" s="67"/>
      <c r="C44" s="67"/>
      <c r="D44" s="67"/>
      <c r="E44" s="67"/>
      <c r="F44" s="67"/>
      <c r="G44" s="67"/>
      <c r="H44" s="67"/>
      <c r="I44" s="67"/>
      <c r="J44" s="67"/>
      <c r="K44" s="67"/>
      <c r="L44" s="67"/>
      <c r="M44" s="67"/>
      <c r="N44" s="67"/>
      <c r="O44" s="67"/>
      <c r="P44" s="67"/>
      <c r="Q44" s="67"/>
      <c r="R44" s="67"/>
      <c r="S44" s="67"/>
      <c r="T44" s="67"/>
      <c r="U44" s="67"/>
      <c r="V44" s="67"/>
      <c r="W44" s="67"/>
      <c r="X44" s="67"/>
      <c r="Y44" s="67"/>
    </row>
    <row r="45" spans="1:25" x14ac:dyDescent="0.2">
      <c r="A45" s="67"/>
      <c r="B45" s="67"/>
      <c r="C45" s="67"/>
      <c r="D45" s="67"/>
      <c r="E45" s="67"/>
      <c r="F45" s="67"/>
      <c r="G45" s="67"/>
      <c r="H45" s="67"/>
      <c r="I45" s="67"/>
      <c r="J45" s="67"/>
      <c r="K45" s="67"/>
      <c r="L45" s="67"/>
      <c r="M45" s="67"/>
      <c r="N45" s="67"/>
      <c r="O45" s="67"/>
      <c r="P45" s="67"/>
      <c r="Q45" s="67"/>
      <c r="R45" s="67"/>
      <c r="S45" s="67"/>
      <c r="T45" s="67"/>
      <c r="U45" s="67"/>
      <c r="V45" s="67"/>
      <c r="W45" s="67"/>
      <c r="X45" s="67"/>
      <c r="Y45" s="67"/>
    </row>
    <row r="46" spans="1:25" x14ac:dyDescent="0.2">
      <c r="A46" s="67"/>
      <c r="B46" s="67"/>
      <c r="C46" s="67"/>
      <c r="D46" s="67"/>
      <c r="E46" s="67"/>
      <c r="F46" s="67"/>
      <c r="G46" s="67"/>
      <c r="H46" s="67"/>
      <c r="I46" s="67"/>
      <c r="J46" s="67"/>
      <c r="K46" s="67"/>
      <c r="L46" s="67"/>
      <c r="M46" s="67"/>
      <c r="N46" s="67"/>
      <c r="O46" s="67"/>
      <c r="P46" s="67"/>
      <c r="Q46" s="67"/>
      <c r="R46" s="67"/>
      <c r="S46" s="67"/>
      <c r="T46" s="67"/>
      <c r="U46" s="67"/>
      <c r="V46" s="67"/>
      <c r="W46" s="67"/>
      <c r="X46" s="67"/>
      <c r="Y46" s="67"/>
    </row>
    <row r="47" spans="1:25" x14ac:dyDescent="0.2">
      <c r="A47" s="67"/>
      <c r="B47" s="67"/>
      <c r="C47" s="67"/>
      <c r="D47" s="67"/>
      <c r="E47" s="67"/>
      <c r="F47" s="67"/>
      <c r="G47" s="67"/>
      <c r="H47" s="67"/>
      <c r="I47" s="67"/>
      <c r="J47" s="67"/>
      <c r="K47" s="67"/>
      <c r="L47" s="67"/>
      <c r="M47" s="67"/>
      <c r="N47" s="67"/>
      <c r="O47" s="67"/>
      <c r="P47" s="67"/>
      <c r="Q47" s="67"/>
      <c r="R47" s="67"/>
      <c r="S47" s="67"/>
      <c r="T47" s="67"/>
      <c r="U47" s="67"/>
      <c r="V47" s="67"/>
      <c r="W47" s="67"/>
      <c r="X47" s="67"/>
      <c r="Y47" s="67"/>
    </row>
    <row r="48" spans="1:25" x14ac:dyDescent="0.2">
      <c r="A48" s="67"/>
      <c r="B48" s="67"/>
      <c r="C48" s="67"/>
      <c r="D48" s="67"/>
      <c r="E48" s="67"/>
      <c r="F48" s="67"/>
      <c r="G48" s="67"/>
      <c r="H48" s="67"/>
      <c r="I48" s="67"/>
      <c r="J48" s="67"/>
      <c r="K48" s="67"/>
      <c r="L48" s="67"/>
      <c r="M48" s="67"/>
      <c r="N48" s="67"/>
      <c r="O48" s="67"/>
      <c r="P48" s="67"/>
      <c r="Q48" s="67"/>
      <c r="R48" s="67"/>
      <c r="S48" s="67"/>
      <c r="T48" s="67"/>
      <c r="U48" s="67"/>
      <c r="V48" s="67"/>
      <c r="W48" s="67"/>
      <c r="X48" s="67"/>
      <c r="Y48" s="67"/>
    </row>
    <row r="49" spans="1:25" x14ac:dyDescent="0.2">
      <c r="A49" s="67"/>
      <c r="B49" s="67"/>
      <c r="C49" s="67"/>
      <c r="D49" s="67"/>
      <c r="E49" s="67"/>
      <c r="F49" s="67"/>
      <c r="G49" s="67"/>
      <c r="H49" s="67"/>
      <c r="I49" s="67"/>
      <c r="J49" s="67"/>
      <c r="K49" s="67"/>
      <c r="L49" s="67"/>
      <c r="M49" s="67"/>
      <c r="N49" s="67"/>
      <c r="O49" s="67"/>
      <c r="P49" s="67"/>
      <c r="Q49" s="67"/>
      <c r="R49" s="67"/>
      <c r="S49" s="67"/>
      <c r="T49" s="67"/>
      <c r="U49" s="67"/>
      <c r="V49" s="67"/>
      <c r="W49" s="67"/>
      <c r="X49" s="67"/>
      <c r="Y49" s="67"/>
    </row>
    <row r="50" spans="1:25" x14ac:dyDescent="0.2">
      <c r="A50" s="67"/>
      <c r="B50" s="67"/>
      <c r="C50" s="67"/>
      <c r="D50" s="67"/>
      <c r="E50" s="67"/>
      <c r="F50" s="67"/>
      <c r="G50" s="67"/>
      <c r="H50" s="67"/>
      <c r="I50" s="67"/>
      <c r="J50" s="67"/>
      <c r="K50" s="67"/>
      <c r="L50" s="67"/>
      <c r="M50" s="67"/>
      <c r="N50" s="67"/>
      <c r="O50" s="67"/>
      <c r="P50" s="67"/>
      <c r="Q50" s="67"/>
      <c r="R50" s="67"/>
      <c r="S50" s="67"/>
      <c r="T50" s="67"/>
      <c r="U50" s="67"/>
      <c r="V50" s="67"/>
      <c r="W50" s="67"/>
      <c r="X50" s="67"/>
      <c r="Y50" s="67"/>
    </row>
    <row r="51" spans="1:25" x14ac:dyDescent="0.2">
      <c r="A51" s="67"/>
      <c r="B51" s="67"/>
      <c r="C51" s="67"/>
      <c r="D51" s="67"/>
      <c r="E51" s="67"/>
      <c r="F51" s="67"/>
      <c r="G51" s="67"/>
      <c r="H51" s="67"/>
      <c r="I51" s="67"/>
      <c r="J51" s="67"/>
      <c r="K51" s="67"/>
      <c r="L51" s="67"/>
      <c r="M51" s="67"/>
      <c r="N51" s="67"/>
      <c r="O51" s="67"/>
      <c r="P51" s="67"/>
      <c r="Q51" s="67"/>
      <c r="R51" s="67"/>
      <c r="S51" s="67"/>
      <c r="T51" s="67"/>
      <c r="U51" s="67"/>
      <c r="V51" s="67"/>
      <c r="W51" s="67"/>
      <c r="X51" s="67"/>
      <c r="Y51" s="67"/>
    </row>
    <row r="52" spans="1:25" x14ac:dyDescent="0.2">
      <c r="A52" s="67"/>
      <c r="B52" s="67"/>
      <c r="C52" s="67"/>
      <c r="D52" s="67"/>
      <c r="E52" s="67"/>
      <c r="F52" s="67"/>
      <c r="G52" s="67"/>
      <c r="H52" s="67"/>
      <c r="I52" s="67"/>
      <c r="J52" s="67"/>
      <c r="K52" s="67"/>
      <c r="L52" s="67"/>
      <c r="M52" s="67"/>
      <c r="N52" s="67"/>
      <c r="O52" s="67"/>
      <c r="P52" s="67"/>
      <c r="Q52" s="67"/>
      <c r="R52" s="67"/>
      <c r="S52" s="67"/>
      <c r="T52" s="67"/>
      <c r="U52" s="67"/>
      <c r="V52" s="67"/>
      <c r="W52" s="67"/>
      <c r="X52" s="67"/>
      <c r="Y52" s="67"/>
    </row>
    <row r="53" spans="1:25" x14ac:dyDescent="0.2">
      <c r="A53" s="67"/>
      <c r="B53" s="67"/>
      <c r="C53" s="67"/>
      <c r="D53" s="67"/>
      <c r="E53" s="67"/>
      <c r="F53" s="67"/>
      <c r="G53" s="67"/>
      <c r="H53" s="67"/>
      <c r="I53" s="67"/>
      <c r="J53" s="67"/>
      <c r="K53" s="67"/>
      <c r="L53" s="67"/>
      <c r="M53" s="67"/>
      <c r="N53" s="67"/>
      <c r="O53" s="67"/>
      <c r="P53" s="67"/>
      <c r="Q53" s="67"/>
      <c r="R53" s="67"/>
      <c r="S53" s="67"/>
      <c r="T53" s="67"/>
      <c r="U53" s="67"/>
      <c r="V53" s="67"/>
      <c r="W53" s="67"/>
      <c r="X53" s="67"/>
      <c r="Y53" s="67"/>
    </row>
    <row r="54" spans="1:25" x14ac:dyDescent="0.2">
      <c r="A54" s="67"/>
      <c r="B54" s="67"/>
      <c r="C54" s="67"/>
      <c r="D54" s="67"/>
      <c r="E54" s="67"/>
      <c r="F54" s="67"/>
      <c r="G54" s="67"/>
      <c r="H54" s="67"/>
      <c r="I54" s="67"/>
      <c r="J54" s="67"/>
      <c r="K54" s="67"/>
      <c r="L54" s="67"/>
      <c r="M54" s="67"/>
      <c r="N54" s="67"/>
      <c r="O54" s="67"/>
      <c r="P54" s="67"/>
      <c r="Q54" s="67"/>
      <c r="R54" s="67"/>
      <c r="S54" s="67"/>
      <c r="T54" s="67"/>
      <c r="U54" s="67"/>
      <c r="V54" s="67"/>
      <c r="W54" s="67"/>
      <c r="X54" s="67"/>
      <c r="Y54" s="67"/>
    </row>
    <row r="55" spans="1:25" x14ac:dyDescent="0.2">
      <c r="A55" s="67"/>
      <c r="B55" s="67"/>
      <c r="C55" s="67"/>
      <c r="D55" s="67"/>
      <c r="E55" s="67"/>
      <c r="F55" s="67"/>
      <c r="G55" s="67"/>
      <c r="H55" s="67"/>
      <c r="I55" s="67"/>
      <c r="J55" s="67"/>
      <c r="K55" s="67"/>
      <c r="L55" s="67"/>
      <c r="M55" s="67"/>
      <c r="N55" s="67"/>
      <c r="O55" s="67"/>
      <c r="P55" s="67"/>
      <c r="Q55" s="67"/>
      <c r="R55" s="67"/>
      <c r="S55" s="67"/>
      <c r="T55" s="67"/>
      <c r="U55" s="67"/>
      <c r="V55" s="67"/>
      <c r="W55" s="67"/>
      <c r="X55" s="67"/>
      <c r="Y55" s="67"/>
    </row>
    <row r="56" spans="1:25" x14ac:dyDescent="0.2">
      <c r="A56" s="67"/>
      <c r="B56" s="67"/>
      <c r="C56" s="67"/>
      <c r="D56" s="67"/>
      <c r="E56" s="67"/>
      <c r="F56" s="67"/>
      <c r="G56" s="67"/>
      <c r="H56" s="67"/>
      <c r="I56" s="67"/>
      <c r="J56" s="67"/>
      <c r="K56" s="67"/>
      <c r="L56" s="67"/>
      <c r="M56" s="67"/>
      <c r="N56" s="67"/>
      <c r="O56" s="67"/>
      <c r="P56" s="67"/>
      <c r="Q56" s="67"/>
      <c r="R56" s="67"/>
      <c r="S56" s="67"/>
      <c r="T56" s="67"/>
      <c r="U56" s="67"/>
      <c r="V56" s="67"/>
      <c r="W56" s="67"/>
      <c r="X56" s="67"/>
      <c r="Y56" s="67"/>
    </row>
    <row r="57" spans="1:25" x14ac:dyDescent="0.2">
      <c r="A57" s="67"/>
      <c r="B57" s="67"/>
      <c r="C57" s="67"/>
      <c r="D57" s="67"/>
      <c r="E57" s="67"/>
      <c r="F57" s="67"/>
      <c r="G57" s="67"/>
      <c r="H57" s="67"/>
      <c r="I57" s="67"/>
      <c r="J57" s="67"/>
      <c r="K57" s="67"/>
      <c r="L57" s="67"/>
      <c r="M57" s="67"/>
      <c r="N57" s="67"/>
      <c r="O57" s="67"/>
      <c r="P57" s="67"/>
      <c r="Q57" s="67"/>
      <c r="R57" s="67"/>
      <c r="S57" s="67"/>
      <c r="T57" s="67"/>
      <c r="U57" s="67"/>
      <c r="V57" s="67"/>
      <c r="W57" s="67"/>
      <c r="X57" s="67"/>
      <c r="Y57" s="67"/>
    </row>
    <row r="58" spans="1:25" x14ac:dyDescent="0.2">
      <c r="A58" s="67"/>
      <c r="B58" s="67"/>
      <c r="C58" s="67"/>
      <c r="D58" s="67"/>
      <c r="E58" s="67"/>
      <c r="F58" s="67"/>
      <c r="G58" s="67"/>
      <c r="H58" s="67"/>
      <c r="I58" s="67"/>
      <c r="J58" s="67"/>
      <c r="K58" s="67"/>
      <c r="L58" s="67"/>
      <c r="M58" s="67"/>
      <c r="N58" s="67"/>
      <c r="O58" s="67"/>
      <c r="P58" s="67"/>
      <c r="Q58" s="67"/>
      <c r="R58" s="67"/>
      <c r="S58" s="67"/>
      <c r="T58" s="67"/>
      <c r="U58" s="67"/>
      <c r="V58" s="67"/>
      <c r="W58" s="67"/>
      <c r="X58" s="67"/>
      <c r="Y58" s="67"/>
    </row>
    <row r="59" spans="1:25" x14ac:dyDescent="0.2">
      <c r="A59" s="67"/>
      <c r="B59" s="67"/>
      <c r="C59" s="67"/>
      <c r="D59" s="67"/>
      <c r="E59" s="67"/>
      <c r="F59" s="67"/>
      <c r="G59" s="67"/>
      <c r="H59" s="67"/>
      <c r="I59" s="67"/>
      <c r="J59" s="67"/>
      <c r="K59" s="67"/>
      <c r="L59" s="67"/>
      <c r="M59" s="67"/>
      <c r="N59" s="67"/>
      <c r="O59" s="67"/>
      <c r="P59" s="67"/>
      <c r="Q59" s="67"/>
      <c r="R59" s="67"/>
      <c r="S59" s="67"/>
      <c r="T59" s="67"/>
      <c r="U59" s="67"/>
      <c r="V59" s="67"/>
      <c r="W59" s="67"/>
      <c r="X59" s="67"/>
      <c r="Y59" s="67"/>
    </row>
    <row r="60" spans="1:25" x14ac:dyDescent="0.2">
      <c r="A60" s="67"/>
      <c r="B60" s="67"/>
      <c r="C60" s="67"/>
      <c r="D60" s="67"/>
      <c r="E60" s="67"/>
      <c r="F60" s="67"/>
      <c r="G60" s="67"/>
      <c r="H60" s="67"/>
      <c r="I60" s="67"/>
      <c r="J60" s="67"/>
      <c r="K60" s="67"/>
      <c r="L60" s="67"/>
      <c r="M60" s="67"/>
      <c r="N60" s="67"/>
      <c r="O60" s="67"/>
      <c r="P60" s="67"/>
      <c r="Q60" s="67"/>
      <c r="R60" s="67"/>
      <c r="S60" s="67"/>
      <c r="T60" s="67"/>
      <c r="U60" s="67"/>
      <c r="V60" s="67"/>
      <c r="W60" s="67"/>
      <c r="X60" s="67"/>
      <c r="Y60" s="67"/>
    </row>
    <row r="61" spans="1:25" x14ac:dyDescent="0.2">
      <c r="A61" s="67"/>
      <c r="B61" s="67"/>
      <c r="C61" s="67"/>
      <c r="D61" s="67"/>
      <c r="E61" s="67"/>
      <c r="F61" s="67"/>
      <c r="G61" s="67"/>
      <c r="H61" s="67"/>
      <c r="I61" s="67"/>
      <c r="J61" s="67"/>
      <c r="K61" s="67"/>
      <c r="L61" s="67"/>
      <c r="M61" s="67"/>
      <c r="N61" s="67"/>
      <c r="O61" s="67"/>
      <c r="P61" s="67"/>
      <c r="Q61" s="67"/>
      <c r="R61" s="67"/>
      <c r="S61" s="67"/>
      <c r="T61" s="67"/>
      <c r="U61" s="67"/>
      <c r="V61" s="67"/>
      <c r="W61" s="67"/>
      <c r="X61" s="67"/>
      <c r="Y61" s="67"/>
    </row>
    <row r="62" spans="1:25" x14ac:dyDescent="0.2">
      <c r="A62" s="67"/>
      <c r="B62" s="67"/>
      <c r="C62" s="67"/>
      <c r="D62" s="67"/>
      <c r="E62" s="67"/>
      <c r="F62" s="67"/>
      <c r="G62" s="67"/>
      <c r="H62" s="67"/>
      <c r="I62" s="67"/>
      <c r="J62" s="67"/>
      <c r="K62" s="67"/>
      <c r="L62" s="67"/>
      <c r="M62" s="67"/>
      <c r="N62" s="67"/>
      <c r="O62" s="67"/>
      <c r="P62" s="67"/>
      <c r="Q62" s="67"/>
      <c r="R62" s="67"/>
      <c r="S62" s="67"/>
      <c r="T62" s="67"/>
      <c r="U62" s="67"/>
      <c r="V62" s="67"/>
      <c r="W62" s="67"/>
      <c r="X62" s="67"/>
      <c r="Y62" s="67"/>
    </row>
    <row r="63" spans="1:25" x14ac:dyDescent="0.2">
      <c r="A63" s="67"/>
      <c r="B63" s="67"/>
      <c r="C63" s="67"/>
      <c r="D63" s="67"/>
      <c r="E63" s="67"/>
      <c r="F63" s="67"/>
      <c r="G63" s="67"/>
      <c r="H63" s="67"/>
      <c r="I63" s="67"/>
      <c r="J63" s="67"/>
      <c r="K63" s="67"/>
      <c r="L63" s="67"/>
      <c r="M63" s="67"/>
      <c r="N63" s="67"/>
      <c r="O63" s="67"/>
      <c r="P63" s="67"/>
      <c r="Q63" s="67"/>
      <c r="R63" s="67"/>
      <c r="S63" s="67"/>
      <c r="T63" s="67"/>
      <c r="U63" s="67"/>
      <c r="V63" s="67"/>
      <c r="W63" s="67"/>
      <c r="X63" s="67"/>
      <c r="Y63" s="67"/>
    </row>
    <row r="64" spans="1:25" x14ac:dyDescent="0.2">
      <c r="A64" s="67"/>
      <c r="B64" s="67"/>
      <c r="C64" s="67"/>
      <c r="D64" s="67"/>
      <c r="E64" s="67"/>
      <c r="F64" s="67"/>
      <c r="G64" s="67"/>
      <c r="H64" s="67"/>
      <c r="I64" s="67"/>
      <c r="J64" s="67"/>
      <c r="K64" s="67"/>
      <c r="L64" s="67"/>
      <c r="M64" s="67"/>
      <c r="N64" s="67"/>
      <c r="O64" s="67"/>
      <c r="P64" s="67"/>
      <c r="Q64" s="67"/>
      <c r="R64" s="67"/>
      <c r="S64" s="67"/>
      <c r="T64" s="67"/>
      <c r="U64" s="67"/>
      <c r="V64" s="67"/>
      <c r="W64" s="67"/>
      <c r="X64" s="67"/>
      <c r="Y64" s="67"/>
    </row>
    <row r="65" spans="1:25" x14ac:dyDescent="0.2">
      <c r="A65" s="67"/>
      <c r="B65" s="67"/>
      <c r="C65" s="67"/>
      <c r="D65" s="67"/>
      <c r="E65" s="67"/>
      <c r="F65" s="67"/>
      <c r="G65" s="67"/>
      <c r="H65" s="67"/>
      <c r="I65" s="67"/>
      <c r="J65" s="67"/>
      <c r="K65" s="67"/>
      <c r="L65" s="67"/>
      <c r="M65" s="67"/>
      <c r="N65" s="67"/>
      <c r="O65" s="67"/>
      <c r="P65" s="67"/>
      <c r="Q65" s="67"/>
      <c r="R65" s="67"/>
      <c r="S65" s="67"/>
      <c r="T65" s="67"/>
      <c r="U65" s="67"/>
      <c r="V65" s="67"/>
      <c r="W65" s="67"/>
      <c r="X65" s="67"/>
      <c r="Y65" s="67"/>
    </row>
    <row r="66" spans="1:25" x14ac:dyDescent="0.2">
      <c r="A66" s="67"/>
      <c r="B66" s="67"/>
      <c r="C66" s="67"/>
      <c r="D66" s="67"/>
      <c r="E66" s="67"/>
      <c r="F66" s="67"/>
      <c r="G66" s="67"/>
      <c r="H66" s="67"/>
      <c r="I66" s="67"/>
      <c r="J66" s="67"/>
      <c r="K66" s="67"/>
      <c r="L66" s="67"/>
      <c r="M66" s="67"/>
      <c r="N66" s="67"/>
      <c r="O66" s="67"/>
      <c r="P66" s="67"/>
      <c r="Q66" s="67"/>
      <c r="R66" s="67"/>
      <c r="S66" s="67"/>
      <c r="T66" s="67"/>
      <c r="U66" s="67"/>
      <c r="V66" s="67"/>
      <c r="W66" s="67"/>
      <c r="X66" s="67"/>
      <c r="Y66" s="67"/>
    </row>
    <row r="67" spans="1:25" x14ac:dyDescent="0.2">
      <c r="A67" s="67"/>
      <c r="B67" s="67"/>
      <c r="C67" s="67"/>
      <c r="D67" s="67"/>
      <c r="E67" s="67"/>
      <c r="F67" s="67"/>
      <c r="G67" s="67"/>
      <c r="H67" s="67"/>
      <c r="I67" s="67"/>
      <c r="J67" s="67"/>
      <c r="K67" s="67"/>
      <c r="L67" s="67"/>
      <c r="M67" s="67"/>
      <c r="N67" s="67"/>
      <c r="O67" s="67"/>
      <c r="P67" s="67"/>
      <c r="Q67" s="67"/>
      <c r="R67" s="67"/>
      <c r="S67" s="67"/>
      <c r="T67" s="67"/>
      <c r="U67" s="67"/>
      <c r="V67" s="67"/>
      <c r="W67" s="67"/>
      <c r="X67" s="67"/>
      <c r="Y67" s="67"/>
    </row>
    <row r="68" spans="1:25" x14ac:dyDescent="0.2">
      <c r="A68" s="67"/>
      <c r="B68" s="67"/>
      <c r="C68" s="67"/>
      <c r="D68" s="67"/>
      <c r="E68" s="67"/>
      <c r="F68" s="67"/>
      <c r="G68" s="67"/>
      <c r="H68" s="67"/>
      <c r="I68" s="67"/>
      <c r="J68" s="67"/>
      <c r="K68" s="67"/>
      <c r="L68" s="67"/>
      <c r="M68" s="67"/>
      <c r="N68" s="67"/>
      <c r="O68" s="67"/>
      <c r="P68" s="67"/>
      <c r="Q68" s="67"/>
      <c r="R68" s="67"/>
      <c r="S68" s="67"/>
      <c r="T68" s="67"/>
      <c r="U68" s="67"/>
      <c r="V68" s="67"/>
      <c r="W68" s="67"/>
      <c r="X68" s="67"/>
      <c r="Y68" s="67"/>
    </row>
    <row r="69" spans="1:25" x14ac:dyDescent="0.2">
      <c r="A69" s="67"/>
      <c r="B69" s="67"/>
      <c r="C69" s="67"/>
      <c r="D69" s="67"/>
      <c r="E69" s="67"/>
      <c r="F69" s="67"/>
      <c r="G69" s="67"/>
      <c r="H69" s="67"/>
      <c r="I69" s="67"/>
      <c r="J69" s="67"/>
      <c r="K69" s="67"/>
      <c r="L69" s="67"/>
      <c r="M69" s="67"/>
      <c r="N69" s="67"/>
      <c r="O69" s="67"/>
      <c r="P69" s="67"/>
      <c r="Q69" s="67"/>
      <c r="R69" s="67"/>
      <c r="S69" s="67"/>
      <c r="T69" s="67"/>
      <c r="U69" s="67"/>
      <c r="V69" s="67"/>
      <c r="W69" s="67"/>
      <c r="X69" s="67"/>
      <c r="Y69" s="67"/>
    </row>
    <row r="70" spans="1:25" x14ac:dyDescent="0.2">
      <c r="A70" s="67"/>
      <c r="B70" s="67"/>
      <c r="C70" s="67"/>
      <c r="D70" s="67"/>
      <c r="E70" s="67"/>
      <c r="F70" s="67"/>
      <c r="G70" s="67"/>
      <c r="H70" s="67"/>
      <c r="I70" s="67"/>
      <c r="J70" s="67"/>
      <c r="K70" s="67"/>
      <c r="L70" s="67"/>
      <c r="M70" s="67"/>
      <c r="N70" s="67"/>
      <c r="O70" s="67"/>
      <c r="P70" s="67"/>
      <c r="Q70" s="67"/>
      <c r="R70" s="67"/>
      <c r="S70" s="67"/>
      <c r="T70" s="67"/>
      <c r="U70" s="67"/>
      <c r="V70" s="67"/>
      <c r="W70" s="67"/>
      <c r="X70" s="67"/>
      <c r="Y70" s="67"/>
    </row>
    <row r="71" spans="1:25" x14ac:dyDescent="0.2">
      <c r="A71" s="67"/>
      <c r="B71" s="67"/>
      <c r="C71" s="67"/>
      <c r="D71" s="67"/>
      <c r="E71" s="67"/>
      <c r="F71" s="67"/>
      <c r="G71" s="67"/>
      <c r="H71" s="67"/>
      <c r="I71" s="67"/>
      <c r="J71" s="67"/>
      <c r="K71" s="67"/>
      <c r="L71" s="67"/>
      <c r="M71" s="67"/>
      <c r="N71" s="67"/>
      <c r="O71" s="67"/>
      <c r="P71" s="67"/>
      <c r="Q71" s="67"/>
      <c r="R71" s="67"/>
      <c r="S71" s="67"/>
      <c r="T71" s="67"/>
      <c r="U71" s="67"/>
      <c r="V71" s="67"/>
      <c r="W71" s="67"/>
      <c r="X71" s="67"/>
      <c r="Y71" s="67"/>
    </row>
    <row r="72" spans="1:25" x14ac:dyDescent="0.2">
      <c r="A72" s="67"/>
      <c r="B72" s="67"/>
      <c r="C72" s="67"/>
      <c r="D72" s="67"/>
      <c r="E72" s="67"/>
      <c r="F72" s="67"/>
      <c r="G72" s="67"/>
      <c r="H72" s="67"/>
      <c r="I72" s="67"/>
      <c r="J72" s="67"/>
      <c r="K72" s="67"/>
      <c r="L72" s="67"/>
      <c r="M72" s="67"/>
      <c r="N72" s="67"/>
      <c r="O72" s="67"/>
      <c r="P72" s="67"/>
      <c r="Q72" s="67"/>
      <c r="R72" s="67"/>
      <c r="S72" s="67"/>
      <c r="T72" s="67"/>
      <c r="U72" s="67"/>
      <c r="V72" s="67"/>
      <c r="W72" s="67"/>
      <c r="X72" s="67"/>
      <c r="Y72" s="67"/>
    </row>
    <row r="73" spans="1:25" x14ac:dyDescent="0.2">
      <c r="A73" s="67"/>
      <c r="B73" s="67"/>
      <c r="C73" s="67"/>
      <c r="D73" s="67"/>
      <c r="E73" s="67"/>
      <c r="F73" s="67"/>
      <c r="G73" s="67"/>
      <c r="H73" s="67"/>
      <c r="I73" s="67"/>
      <c r="J73" s="67"/>
      <c r="K73" s="67"/>
      <c r="L73" s="67"/>
      <c r="M73" s="67"/>
      <c r="N73" s="67"/>
      <c r="O73" s="67"/>
      <c r="P73" s="67"/>
      <c r="Q73" s="67"/>
      <c r="R73" s="67"/>
      <c r="S73" s="67"/>
      <c r="T73" s="67"/>
      <c r="U73" s="67"/>
      <c r="V73" s="67"/>
      <c r="W73" s="67"/>
      <c r="X73" s="67"/>
      <c r="Y73" s="67"/>
    </row>
    <row r="74" spans="1:25" x14ac:dyDescent="0.2">
      <c r="A74" s="67"/>
      <c r="B74" s="67"/>
      <c r="C74" s="67"/>
      <c r="D74" s="67"/>
      <c r="E74" s="67"/>
      <c r="F74" s="67"/>
      <c r="G74" s="67"/>
      <c r="H74" s="67"/>
      <c r="I74" s="67"/>
      <c r="J74" s="67"/>
      <c r="K74" s="67"/>
      <c r="L74" s="67"/>
      <c r="M74" s="67"/>
      <c r="N74" s="67"/>
      <c r="O74" s="67"/>
      <c r="P74" s="67"/>
      <c r="Q74" s="67"/>
      <c r="R74" s="67"/>
      <c r="S74" s="67"/>
      <c r="T74" s="67"/>
      <c r="U74" s="67"/>
      <c r="V74" s="67"/>
      <c r="W74" s="67"/>
      <c r="X74" s="67"/>
      <c r="Y74" s="67"/>
    </row>
    <row r="75" spans="1:25" x14ac:dyDescent="0.2">
      <c r="A75" s="67"/>
      <c r="B75" s="67"/>
      <c r="C75" s="67"/>
      <c r="D75" s="67"/>
      <c r="E75" s="67"/>
      <c r="F75" s="67"/>
      <c r="G75" s="67"/>
      <c r="H75" s="67"/>
      <c r="I75" s="67"/>
      <c r="J75" s="67"/>
      <c r="K75" s="67"/>
      <c r="L75" s="67"/>
      <c r="M75" s="67"/>
      <c r="N75" s="67"/>
      <c r="O75" s="67"/>
      <c r="P75" s="67"/>
      <c r="Q75" s="67"/>
      <c r="R75" s="67"/>
      <c r="S75" s="67"/>
      <c r="T75" s="67"/>
      <c r="U75" s="67"/>
      <c r="V75" s="67"/>
      <c r="W75" s="67"/>
      <c r="X75" s="67"/>
      <c r="Y75" s="67"/>
    </row>
    <row r="76" spans="1:25" x14ac:dyDescent="0.2">
      <c r="A76" s="67"/>
      <c r="B76" s="67"/>
      <c r="C76" s="67"/>
      <c r="D76" s="67"/>
      <c r="E76" s="67"/>
      <c r="F76" s="67"/>
      <c r="G76" s="67"/>
      <c r="H76" s="67"/>
      <c r="I76" s="67"/>
      <c r="J76" s="67"/>
      <c r="K76" s="67"/>
      <c r="L76" s="67"/>
      <c r="M76" s="67"/>
      <c r="N76" s="67"/>
      <c r="O76" s="67"/>
      <c r="P76" s="67"/>
      <c r="Q76" s="67"/>
      <c r="R76" s="67"/>
      <c r="S76" s="67"/>
      <c r="T76" s="67"/>
      <c r="U76" s="67"/>
      <c r="V76" s="67"/>
      <c r="W76" s="67"/>
      <c r="X76" s="67"/>
      <c r="Y76" s="67"/>
    </row>
    <row r="77" spans="1:25" x14ac:dyDescent="0.2">
      <c r="A77" s="67"/>
      <c r="B77" s="67"/>
      <c r="C77" s="67"/>
      <c r="D77" s="67"/>
      <c r="E77" s="67"/>
      <c r="F77" s="67"/>
      <c r="G77" s="67"/>
      <c r="H77" s="67"/>
      <c r="I77" s="67"/>
      <c r="J77" s="67"/>
      <c r="K77" s="67"/>
      <c r="L77" s="67"/>
      <c r="M77" s="67"/>
      <c r="N77" s="67"/>
      <c r="O77" s="67"/>
      <c r="P77" s="67"/>
      <c r="Q77" s="67"/>
      <c r="R77" s="67"/>
      <c r="S77" s="67"/>
      <c r="T77" s="67"/>
      <c r="U77" s="67"/>
      <c r="V77" s="67"/>
      <c r="W77" s="67"/>
      <c r="X77" s="67"/>
      <c r="Y77" s="67"/>
    </row>
    <row r="78" spans="1:25" x14ac:dyDescent="0.2">
      <c r="A78" s="67"/>
      <c r="B78" s="67"/>
      <c r="C78" s="67"/>
      <c r="D78" s="67"/>
      <c r="E78" s="67"/>
      <c r="F78" s="67"/>
      <c r="G78" s="67"/>
      <c r="H78" s="67"/>
      <c r="I78" s="67"/>
      <c r="J78" s="67"/>
      <c r="K78" s="67"/>
      <c r="L78" s="67"/>
      <c r="M78" s="67"/>
      <c r="N78" s="67"/>
      <c r="O78" s="67"/>
      <c r="P78" s="67"/>
      <c r="Q78" s="67"/>
      <c r="R78" s="67"/>
      <c r="S78" s="67"/>
      <c r="T78" s="67"/>
      <c r="U78" s="67"/>
      <c r="V78" s="67"/>
      <c r="W78" s="67"/>
      <c r="X78" s="67"/>
      <c r="Y78" s="67"/>
    </row>
    <row r="79" spans="1:25" x14ac:dyDescent="0.2">
      <c r="A79" s="67"/>
      <c r="B79" s="67"/>
      <c r="C79" s="67"/>
      <c r="D79" s="67"/>
      <c r="E79" s="67"/>
      <c r="F79" s="67"/>
      <c r="G79" s="67"/>
      <c r="H79" s="67"/>
      <c r="I79" s="67"/>
      <c r="J79" s="67"/>
      <c r="K79" s="67"/>
      <c r="L79" s="67"/>
      <c r="M79" s="67"/>
      <c r="N79" s="67"/>
      <c r="O79" s="67"/>
      <c r="P79" s="67"/>
      <c r="Q79" s="67"/>
      <c r="R79" s="67"/>
      <c r="S79" s="67"/>
      <c r="T79" s="67"/>
      <c r="U79" s="67"/>
      <c r="V79" s="67"/>
      <c r="W79" s="67"/>
      <c r="X79" s="67"/>
      <c r="Y79" s="67"/>
    </row>
    <row r="80" spans="1:25" x14ac:dyDescent="0.2">
      <c r="A80" s="67"/>
      <c r="B80" s="67"/>
      <c r="C80" s="67"/>
      <c r="D80" s="67"/>
      <c r="E80" s="67"/>
      <c r="F80" s="67"/>
      <c r="G80" s="67"/>
      <c r="H80" s="67"/>
      <c r="I80" s="67"/>
      <c r="J80" s="67"/>
      <c r="K80" s="67"/>
      <c r="L80" s="67"/>
      <c r="M80" s="67"/>
      <c r="N80" s="67"/>
      <c r="O80" s="67"/>
      <c r="P80" s="67"/>
      <c r="Q80" s="67"/>
      <c r="R80" s="67"/>
      <c r="S80" s="67"/>
      <c r="T80" s="67"/>
      <c r="U80" s="67"/>
      <c r="V80" s="67"/>
      <c r="W80" s="67"/>
      <c r="X80" s="67"/>
      <c r="Y80" s="67"/>
    </row>
    <row r="81" spans="1:25" x14ac:dyDescent="0.2">
      <c r="A81" s="67"/>
      <c r="B81" s="67"/>
      <c r="C81" s="67"/>
      <c r="D81" s="67"/>
      <c r="E81" s="67"/>
      <c r="F81" s="67"/>
      <c r="G81" s="67"/>
      <c r="H81" s="67"/>
      <c r="I81" s="67"/>
      <c r="J81" s="67"/>
      <c r="K81" s="67"/>
      <c r="L81" s="67"/>
      <c r="M81" s="67"/>
      <c r="N81" s="67"/>
      <c r="O81" s="67"/>
      <c r="P81" s="67"/>
      <c r="Q81" s="67"/>
      <c r="R81" s="67"/>
      <c r="S81" s="67"/>
      <c r="T81" s="67"/>
      <c r="U81" s="67"/>
      <c r="V81" s="67"/>
      <c r="W81" s="67"/>
      <c r="X81" s="67"/>
      <c r="Y81" s="67"/>
    </row>
    <row r="82" spans="1:25" x14ac:dyDescent="0.2">
      <c r="A82" s="67"/>
      <c r="B82" s="67"/>
      <c r="C82" s="67"/>
      <c r="D82" s="67"/>
      <c r="E82" s="67"/>
      <c r="F82" s="67"/>
      <c r="G82" s="67"/>
      <c r="H82" s="67"/>
      <c r="I82" s="67"/>
      <c r="J82" s="67"/>
      <c r="K82" s="67"/>
      <c r="L82" s="67"/>
      <c r="M82" s="67"/>
      <c r="N82" s="67"/>
      <c r="O82" s="67"/>
      <c r="P82" s="67"/>
      <c r="Q82" s="67"/>
      <c r="R82" s="67"/>
      <c r="S82" s="67"/>
      <c r="T82" s="67"/>
      <c r="U82" s="67"/>
      <c r="V82" s="67"/>
      <c r="W82" s="67"/>
      <c r="X82" s="67"/>
      <c r="Y82" s="67"/>
    </row>
    <row r="83" spans="1:25" x14ac:dyDescent="0.2">
      <c r="A83" s="67"/>
      <c r="B83" s="67"/>
      <c r="C83" s="67"/>
      <c r="D83" s="67"/>
      <c r="E83" s="67"/>
      <c r="F83" s="67"/>
      <c r="G83" s="67"/>
      <c r="H83" s="67"/>
      <c r="I83" s="67"/>
      <c r="J83" s="67"/>
      <c r="K83" s="67"/>
      <c r="L83" s="67"/>
      <c r="M83" s="67"/>
      <c r="N83" s="67"/>
      <c r="O83" s="67"/>
      <c r="P83" s="67"/>
      <c r="Q83" s="67"/>
      <c r="R83" s="67"/>
      <c r="S83" s="67"/>
      <c r="T83" s="67"/>
      <c r="U83" s="67"/>
      <c r="V83" s="67"/>
      <c r="W83" s="67"/>
      <c r="X83" s="67"/>
      <c r="Y83" s="67"/>
    </row>
    <row r="84" spans="1:25" x14ac:dyDescent="0.2">
      <c r="A84" s="67"/>
      <c r="B84" s="67"/>
      <c r="C84" s="67"/>
      <c r="D84" s="67"/>
      <c r="E84" s="67"/>
      <c r="F84" s="67"/>
      <c r="G84" s="67"/>
      <c r="H84" s="67"/>
      <c r="I84" s="67"/>
      <c r="J84" s="67"/>
      <c r="K84" s="67"/>
      <c r="L84" s="67"/>
      <c r="M84" s="67"/>
      <c r="N84" s="67"/>
      <c r="O84" s="67"/>
      <c r="P84" s="67"/>
      <c r="Q84" s="67"/>
      <c r="R84" s="67"/>
      <c r="S84" s="67"/>
      <c r="T84" s="67"/>
      <c r="U84" s="67"/>
      <c r="V84" s="67"/>
      <c r="W84" s="67"/>
      <c r="X84" s="67"/>
      <c r="Y84" s="67"/>
    </row>
    <row r="85" spans="1:25" x14ac:dyDescent="0.2">
      <c r="A85" s="67"/>
      <c r="B85" s="67"/>
      <c r="C85" s="67"/>
      <c r="D85" s="67"/>
      <c r="E85" s="67"/>
      <c r="F85" s="67"/>
      <c r="G85" s="67"/>
      <c r="H85" s="67"/>
      <c r="I85" s="67"/>
      <c r="J85" s="67"/>
      <c r="K85" s="67"/>
      <c r="L85" s="67"/>
      <c r="M85" s="67"/>
      <c r="N85" s="67"/>
      <c r="O85" s="67"/>
      <c r="P85" s="67"/>
      <c r="Q85" s="67"/>
      <c r="R85" s="67"/>
      <c r="S85" s="67"/>
      <c r="T85" s="67"/>
      <c r="U85" s="67"/>
      <c r="V85" s="67"/>
      <c r="W85" s="67"/>
      <c r="X85" s="67"/>
      <c r="Y85" s="67"/>
    </row>
    <row r="86" spans="1:25" x14ac:dyDescent="0.2">
      <c r="A86" s="67"/>
      <c r="B86" s="67"/>
      <c r="C86" s="67"/>
      <c r="D86" s="67"/>
      <c r="E86" s="67"/>
      <c r="F86" s="67"/>
      <c r="G86" s="67"/>
      <c r="H86" s="67"/>
      <c r="I86" s="67"/>
      <c r="J86" s="67"/>
      <c r="K86" s="67"/>
      <c r="L86" s="67"/>
      <c r="M86" s="67"/>
      <c r="N86" s="67"/>
      <c r="O86" s="67"/>
      <c r="P86" s="67"/>
      <c r="Q86" s="67"/>
      <c r="R86" s="67"/>
      <c r="S86" s="67"/>
      <c r="T86" s="67"/>
      <c r="U86" s="67"/>
      <c r="V86" s="67"/>
      <c r="W86" s="67"/>
      <c r="X86" s="67"/>
      <c r="Y86" s="67"/>
    </row>
    <row r="87" spans="1:25" x14ac:dyDescent="0.2">
      <c r="A87" s="67"/>
      <c r="B87" s="67"/>
      <c r="C87" s="67"/>
      <c r="D87" s="67"/>
      <c r="E87" s="67"/>
      <c r="F87" s="67"/>
      <c r="G87" s="67"/>
      <c r="H87" s="67"/>
      <c r="I87" s="67"/>
      <c r="J87" s="67"/>
      <c r="K87" s="67"/>
      <c r="L87" s="67"/>
      <c r="M87" s="67"/>
      <c r="N87" s="67"/>
      <c r="O87" s="67"/>
      <c r="P87" s="67"/>
      <c r="Q87" s="67"/>
      <c r="R87" s="67"/>
      <c r="S87" s="67"/>
      <c r="T87" s="67"/>
      <c r="U87" s="67"/>
      <c r="V87" s="67"/>
      <c r="W87" s="67"/>
      <c r="X87" s="67"/>
      <c r="Y87" s="67"/>
    </row>
    <row r="88" spans="1:25" x14ac:dyDescent="0.2">
      <c r="A88" s="67"/>
      <c r="B88" s="67"/>
      <c r="C88" s="67"/>
      <c r="D88" s="67"/>
      <c r="E88" s="67"/>
      <c r="F88" s="67"/>
      <c r="G88" s="67"/>
      <c r="H88" s="67"/>
      <c r="I88" s="67"/>
      <c r="J88" s="67"/>
      <c r="K88" s="67"/>
      <c r="L88" s="67"/>
      <c r="M88" s="67"/>
      <c r="N88" s="67"/>
      <c r="O88" s="67"/>
      <c r="P88" s="67"/>
      <c r="Q88" s="67"/>
      <c r="R88" s="67"/>
      <c r="S88" s="67"/>
      <c r="T88" s="67"/>
      <c r="U88" s="67"/>
      <c r="V88" s="67"/>
      <c r="W88" s="67"/>
      <c r="X88" s="67"/>
      <c r="Y88" s="67"/>
    </row>
    <row r="89" spans="1:25" x14ac:dyDescent="0.2">
      <c r="A89" s="67"/>
      <c r="B89" s="67"/>
      <c r="C89" s="67"/>
      <c r="D89" s="67"/>
      <c r="E89" s="67"/>
      <c r="F89" s="67"/>
      <c r="G89" s="67"/>
      <c r="H89" s="67"/>
      <c r="I89" s="67"/>
      <c r="J89" s="67"/>
      <c r="K89" s="67"/>
      <c r="L89" s="67"/>
      <c r="M89" s="67"/>
      <c r="N89" s="67"/>
      <c r="O89" s="67"/>
      <c r="P89" s="67"/>
      <c r="Q89" s="67"/>
      <c r="R89" s="67"/>
      <c r="S89" s="67"/>
      <c r="T89" s="67"/>
      <c r="U89" s="67"/>
      <c r="V89" s="67"/>
      <c r="W89" s="67"/>
      <c r="X89" s="67"/>
      <c r="Y89" s="67"/>
    </row>
    <row r="90" spans="1:25" x14ac:dyDescent="0.2">
      <c r="A90" s="67"/>
      <c r="B90" s="67"/>
      <c r="C90" s="67"/>
      <c r="D90" s="67"/>
      <c r="E90" s="67"/>
      <c r="F90" s="67"/>
      <c r="G90" s="67"/>
      <c r="H90" s="67"/>
      <c r="I90" s="67"/>
      <c r="J90" s="67"/>
      <c r="K90" s="67"/>
      <c r="L90" s="67"/>
      <c r="M90" s="67"/>
      <c r="N90" s="67"/>
      <c r="O90" s="67"/>
      <c r="P90" s="67"/>
      <c r="Q90" s="67"/>
      <c r="R90" s="67"/>
      <c r="S90" s="67"/>
      <c r="T90" s="67"/>
      <c r="U90" s="67"/>
      <c r="V90" s="67"/>
      <c r="W90" s="67"/>
      <c r="X90" s="67"/>
      <c r="Y90" s="67"/>
    </row>
    <row r="91" spans="1:25" x14ac:dyDescent="0.2">
      <c r="A91" s="67"/>
      <c r="B91" s="67"/>
      <c r="C91" s="67"/>
      <c r="D91" s="67"/>
      <c r="E91" s="67"/>
      <c r="F91" s="67"/>
      <c r="G91" s="67"/>
      <c r="H91" s="67"/>
      <c r="I91" s="67"/>
      <c r="J91" s="67"/>
      <c r="K91" s="67"/>
      <c r="L91" s="67"/>
      <c r="M91" s="67"/>
      <c r="N91" s="67"/>
      <c r="O91" s="67"/>
      <c r="P91" s="67"/>
      <c r="Q91" s="67"/>
      <c r="R91" s="67"/>
      <c r="S91" s="67"/>
      <c r="T91" s="67"/>
      <c r="U91" s="67"/>
      <c r="V91" s="67"/>
      <c r="W91" s="67"/>
      <c r="X91" s="67"/>
      <c r="Y91" s="67"/>
    </row>
    <row r="92" spans="1:25" x14ac:dyDescent="0.2">
      <c r="A92" s="67"/>
      <c r="B92" s="67"/>
      <c r="C92" s="67"/>
      <c r="D92" s="67"/>
      <c r="E92" s="67"/>
      <c r="F92" s="67"/>
      <c r="G92" s="67"/>
      <c r="H92" s="67"/>
      <c r="I92" s="67"/>
      <c r="J92" s="67"/>
      <c r="K92" s="67"/>
      <c r="L92" s="67"/>
      <c r="M92" s="67"/>
      <c r="N92" s="67"/>
      <c r="O92" s="67"/>
      <c r="P92" s="67"/>
      <c r="Q92" s="67"/>
      <c r="R92" s="67"/>
      <c r="S92" s="67"/>
      <c r="T92" s="67"/>
      <c r="U92" s="67"/>
      <c r="V92" s="67"/>
      <c r="W92" s="67"/>
      <c r="X92" s="67"/>
      <c r="Y92" s="67"/>
    </row>
    <row r="93" spans="1:25" x14ac:dyDescent="0.2">
      <c r="A93" s="67"/>
      <c r="B93" s="67"/>
      <c r="C93" s="67"/>
      <c r="D93" s="67"/>
      <c r="E93" s="67"/>
      <c r="F93" s="67"/>
      <c r="G93" s="67"/>
      <c r="H93" s="67"/>
      <c r="I93" s="67"/>
      <c r="J93" s="67"/>
      <c r="K93" s="67"/>
      <c r="L93" s="67"/>
      <c r="M93" s="67"/>
      <c r="N93" s="67"/>
      <c r="O93" s="67"/>
      <c r="P93" s="67"/>
      <c r="Q93" s="67"/>
      <c r="R93" s="67"/>
      <c r="S93" s="67"/>
      <c r="T93" s="67"/>
      <c r="U93" s="67"/>
      <c r="V93" s="67"/>
      <c r="W93" s="67"/>
      <c r="X93" s="67"/>
      <c r="Y93" s="67"/>
    </row>
    <row r="94" spans="1:25" x14ac:dyDescent="0.2">
      <c r="A94" s="67"/>
      <c r="B94" s="67"/>
      <c r="C94" s="67"/>
      <c r="D94" s="67"/>
      <c r="E94" s="67"/>
      <c r="F94" s="67"/>
      <c r="G94" s="67"/>
      <c r="H94" s="67"/>
      <c r="I94" s="67"/>
      <c r="J94" s="67"/>
      <c r="K94" s="67"/>
      <c r="L94" s="67"/>
      <c r="M94" s="67"/>
      <c r="N94" s="67"/>
      <c r="O94" s="67"/>
      <c r="P94" s="67"/>
      <c r="Q94" s="67"/>
      <c r="R94" s="67"/>
      <c r="S94" s="67"/>
      <c r="T94" s="67"/>
      <c r="U94" s="67"/>
      <c r="V94" s="67"/>
      <c r="W94" s="67"/>
      <c r="X94" s="67"/>
      <c r="Y94" s="67"/>
    </row>
    <row r="95" spans="1:25" x14ac:dyDescent="0.2">
      <c r="A95" s="67"/>
      <c r="B95" s="67"/>
      <c r="C95" s="67"/>
      <c r="D95" s="67"/>
      <c r="E95" s="67"/>
      <c r="F95" s="67"/>
      <c r="G95" s="67"/>
      <c r="H95" s="67"/>
      <c r="I95" s="67"/>
      <c r="J95" s="67"/>
      <c r="K95" s="67"/>
      <c r="L95" s="67"/>
      <c r="M95" s="67"/>
      <c r="N95" s="67"/>
      <c r="O95" s="67"/>
      <c r="P95" s="67"/>
      <c r="Q95" s="67"/>
      <c r="R95" s="67"/>
      <c r="S95" s="67"/>
      <c r="T95" s="67"/>
      <c r="U95" s="67"/>
      <c r="V95" s="67"/>
      <c r="W95" s="67"/>
      <c r="X95" s="67"/>
      <c r="Y95" s="67"/>
    </row>
    <row r="96" spans="1:25" x14ac:dyDescent="0.2">
      <c r="A96" s="67"/>
      <c r="B96" s="67"/>
      <c r="C96" s="67"/>
      <c r="D96" s="67"/>
      <c r="E96" s="67"/>
      <c r="F96" s="67"/>
      <c r="G96" s="67"/>
      <c r="H96" s="67"/>
      <c r="I96" s="67"/>
      <c r="J96" s="67"/>
      <c r="K96" s="67"/>
      <c r="L96" s="67"/>
      <c r="M96" s="67"/>
      <c r="N96" s="67"/>
      <c r="O96" s="67"/>
      <c r="P96" s="67"/>
      <c r="Q96" s="67"/>
      <c r="R96" s="67"/>
      <c r="S96" s="67"/>
      <c r="T96" s="67"/>
      <c r="U96" s="67"/>
      <c r="V96" s="67"/>
      <c r="W96" s="67"/>
      <c r="X96" s="67"/>
      <c r="Y96" s="67"/>
    </row>
    <row r="97" spans="1:25" x14ac:dyDescent="0.2">
      <c r="A97" s="67"/>
      <c r="B97" s="67"/>
      <c r="C97" s="67"/>
      <c r="D97" s="67"/>
      <c r="E97" s="67"/>
      <c r="F97" s="67"/>
      <c r="G97" s="67"/>
      <c r="H97" s="67"/>
      <c r="I97" s="67"/>
      <c r="J97" s="67"/>
      <c r="K97" s="67"/>
      <c r="L97" s="67"/>
      <c r="M97" s="67"/>
      <c r="N97" s="67"/>
      <c r="O97" s="67"/>
      <c r="P97" s="67"/>
      <c r="Q97" s="67"/>
      <c r="R97" s="67"/>
      <c r="S97" s="67"/>
      <c r="T97" s="67"/>
      <c r="U97" s="67"/>
      <c r="V97" s="67"/>
      <c r="W97" s="67"/>
      <c r="X97" s="67"/>
      <c r="Y97" s="67"/>
    </row>
    <row r="98" spans="1:25" x14ac:dyDescent="0.2">
      <c r="A98" s="67"/>
      <c r="B98" s="67"/>
      <c r="C98" s="67"/>
      <c r="D98" s="67"/>
      <c r="E98" s="67"/>
      <c r="F98" s="67"/>
      <c r="G98" s="67"/>
      <c r="H98" s="67"/>
      <c r="I98" s="67"/>
      <c r="J98" s="67"/>
      <c r="K98" s="67"/>
      <c r="L98" s="67"/>
      <c r="M98" s="67"/>
      <c r="N98" s="67"/>
      <c r="O98" s="67"/>
      <c r="P98" s="67"/>
      <c r="Q98" s="67"/>
      <c r="R98" s="67"/>
      <c r="S98" s="67"/>
      <c r="T98" s="67"/>
      <c r="U98" s="67"/>
      <c r="V98" s="67"/>
      <c r="W98" s="67"/>
      <c r="X98" s="67"/>
      <c r="Y98" s="67"/>
    </row>
    <row r="99" spans="1:25" x14ac:dyDescent="0.2">
      <c r="A99" s="67"/>
      <c r="B99" s="67"/>
      <c r="C99" s="67"/>
      <c r="D99" s="67"/>
      <c r="E99" s="67"/>
      <c r="F99" s="67"/>
      <c r="G99" s="67"/>
      <c r="H99" s="67"/>
      <c r="I99" s="67"/>
      <c r="J99" s="67"/>
      <c r="K99" s="67"/>
      <c r="L99" s="67"/>
      <c r="M99" s="67"/>
      <c r="N99" s="67"/>
      <c r="O99" s="67"/>
      <c r="P99" s="67"/>
      <c r="Q99" s="67"/>
      <c r="R99" s="67"/>
      <c r="S99" s="67"/>
      <c r="T99" s="67"/>
      <c r="U99" s="67"/>
      <c r="V99" s="67"/>
      <c r="W99" s="67"/>
      <c r="X99" s="67"/>
      <c r="Y99" s="67"/>
    </row>
    <row r="100" spans="1:25" x14ac:dyDescent="0.2">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row>
    <row r="101" spans="1:25" x14ac:dyDescent="0.2">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row>
    <row r="102" spans="1:25" x14ac:dyDescent="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row>
    <row r="103" spans="1:25" x14ac:dyDescent="0.2">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row>
    <row r="104" spans="1:25" x14ac:dyDescent="0.2">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row>
    <row r="105" spans="1:25" x14ac:dyDescent="0.2">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row>
    <row r="106" spans="1:25" x14ac:dyDescent="0.2">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row>
    <row r="107" spans="1:25" x14ac:dyDescent="0.2">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row>
    <row r="108" spans="1:25" x14ac:dyDescent="0.2">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row>
    <row r="109" spans="1:25" x14ac:dyDescent="0.2">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row>
    <row r="110" spans="1:25" x14ac:dyDescent="0.2">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row>
    <row r="111" spans="1:25" x14ac:dyDescent="0.2">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row>
    <row r="112" spans="1:25" x14ac:dyDescent="0.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row>
    <row r="113" spans="1:25" x14ac:dyDescent="0.2">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row>
    <row r="114" spans="1:25" x14ac:dyDescent="0.2">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row>
    <row r="115" spans="1:25" x14ac:dyDescent="0.2">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row>
    <row r="116" spans="1:25" x14ac:dyDescent="0.2">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row>
    <row r="117" spans="1:25" x14ac:dyDescent="0.2">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row>
    <row r="118" spans="1:25" x14ac:dyDescent="0.2">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row>
    <row r="119" spans="1:25" x14ac:dyDescent="0.2">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row>
    <row r="120" spans="1:25" x14ac:dyDescent="0.2">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row>
    <row r="121" spans="1:25" x14ac:dyDescent="0.2">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row>
    <row r="122" spans="1:25" x14ac:dyDescent="0.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row>
    <row r="123" spans="1:25" x14ac:dyDescent="0.2">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row>
    <row r="124" spans="1:25" x14ac:dyDescent="0.2">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row>
    <row r="125" spans="1:25" x14ac:dyDescent="0.2">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row>
    <row r="126" spans="1:25" x14ac:dyDescent="0.2">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row>
    <row r="127" spans="1:25" x14ac:dyDescent="0.2">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row>
    <row r="128" spans="1:25" x14ac:dyDescent="0.2">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row>
    <row r="129" spans="1:25" x14ac:dyDescent="0.2">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row>
    <row r="130" spans="1:25" x14ac:dyDescent="0.2">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row>
    <row r="131" spans="1:25" x14ac:dyDescent="0.2">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row>
    <row r="132" spans="1:25" x14ac:dyDescent="0.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row>
    <row r="133" spans="1:25" x14ac:dyDescent="0.2">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row>
    <row r="134" spans="1:25" x14ac:dyDescent="0.2">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row>
    <row r="135" spans="1:25" x14ac:dyDescent="0.2">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row>
    <row r="136" spans="1:25" x14ac:dyDescent="0.2">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row>
    <row r="137" spans="1:25" x14ac:dyDescent="0.2">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row>
    <row r="138" spans="1:25" x14ac:dyDescent="0.2">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row>
    <row r="139" spans="1:25" x14ac:dyDescent="0.2">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row>
    <row r="140" spans="1:25" x14ac:dyDescent="0.2">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row>
    <row r="141" spans="1:25" x14ac:dyDescent="0.2">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row>
    <row r="142" spans="1:25" x14ac:dyDescent="0.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row>
    <row r="143" spans="1:25" x14ac:dyDescent="0.2">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row>
    <row r="144" spans="1:25" x14ac:dyDescent="0.2">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row>
    <row r="145" spans="1:25" x14ac:dyDescent="0.2">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row>
    <row r="146" spans="1:25" x14ac:dyDescent="0.2">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row>
    <row r="147" spans="1:25" x14ac:dyDescent="0.2">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row>
    <row r="148" spans="1:25" x14ac:dyDescent="0.2">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row>
    <row r="149" spans="1:25" x14ac:dyDescent="0.2">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row>
    <row r="150" spans="1:25" x14ac:dyDescent="0.2">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row>
    <row r="151" spans="1:25" x14ac:dyDescent="0.2">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row>
    <row r="152" spans="1:25" x14ac:dyDescent="0.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row>
    <row r="153" spans="1:25" x14ac:dyDescent="0.2">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row>
    <row r="154" spans="1:25" x14ac:dyDescent="0.2">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row>
    <row r="155" spans="1:25" x14ac:dyDescent="0.2">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row>
    <row r="156" spans="1:25" x14ac:dyDescent="0.2">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row>
    <row r="157" spans="1:25" x14ac:dyDescent="0.2">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row>
    <row r="158" spans="1:25" x14ac:dyDescent="0.2">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row>
    <row r="159" spans="1:25" x14ac:dyDescent="0.2">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row>
    <row r="160" spans="1:25" x14ac:dyDescent="0.2">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row>
    <row r="161" spans="1:25" x14ac:dyDescent="0.2">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row>
    <row r="162" spans="1:25" x14ac:dyDescent="0.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row>
    <row r="163" spans="1:25" x14ac:dyDescent="0.2">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row>
    <row r="164" spans="1:25" x14ac:dyDescent="0.2">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row>
    <row r="165" spans="1:25" x14ac:dyDescent="0.2">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row>
    <row r="166" spans="1:25" x14ac:dyDescent="0.2">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row>
    <row r="167" spans="1:25" x14ac:dyDescent="0.2">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row>
    <row r="168" spans="1:25" x14ac:dyDescent="0.2">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row>
    <row r="169" spans="1:25" x14ac:dyDescent="0.2">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row>
    <row r="170" spans="1:25" x14ac:dyDescent="0.2">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row>
    <row r="171" spans="1:25" x14ac:dyDescent="0.2">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row>
    <row r="172" spans="1:25" x14ac:dyDescent="0.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row>
    <row r="173" spans="1:25" x14ac:dyDescent="0.2">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row>
    <row r="174" spans="1:25" x14ac:dyDescent="0.2">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row>
    <row r="175" spans="1:25" x14ac:dyDescent="0.2">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row>
    <row r="176" spans="1:25" x14ac:dyDescent="0.2">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row>
    <row r="177" spans="1:25" x14ac:dyDescent="0.2">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row>
    <row r="178" spans="1:25" x14ac:dyDescent="0.2">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row>
    <row r="179" spans="1:25" x14ac:dyDescent="0.2">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row>
    <row r="180" spans="1:25" x14ac:dyDescent="0.2">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row>
    <row r="181" spans="1:25" x14ac:dyDescent="0.2">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row>
    <row r="182" spans="1:25" x14ac:dyDescent="0.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row>
    <row r="183" spans="1:25" x14ac:dyDescent="0.2">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row>
    <row r="184" spans="1:25" x14ac:dyDescent="0.2">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row>
    <row r="185" spans="1:25" x14ac:dyDescent="0.2">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row>
    <row r="186" spans="1:25" x14ac:dyDescent="0.2">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row>
    <row r="187" spans="1:25" x14ac:dyDescent="0.2">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row>
    <row r="188" spans="1:25" x14ac:dyDescent="0.2">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row>
    <row r="189" spans="1:25" x14ac:dyDescent="0.2">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row>
    <row r="190" spans="1:25" x14ac:dyDescent="0.2">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row>
    <row r="191" spans="1:25" x14ac:dyDescent="0.2">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row>
    <row r="192" spans="1:25" x14ac:dyDescent="0.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row>
    <row r="193" spans="1:25" x14ac:dyDescent="0.2">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row>
    <row r="194" spans="1:25" x14ac:dyDescent="0.2">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row>
    <row r="195" spans="1:25" x14ac:dyDescent="0.2">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row>
    <row r="196" spans="1:25" x14ac:dyDescent="0.2">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row>
    <row r="197" spans="1:25" x14ac:dyDescent="0.2">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row>
    <row r="198" spans="1:25" x14ac:dyDescent="0.2">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row>
    <row r="199" spans="1:25" x14ac:dyDescent="0.2">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row>
    <row r="200" spans="1:25" x14ac:dyDescent="0.2">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row>
    <row r="201" spans="1:25" x14ac:dyDescent="0.2">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row>
    <row r="202" spans="1:25" x14ac:dyDescent="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row>
    <row r="203" spans="1:25" x14ac:dyDescent="0.2">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row>
    <row r="204" spans="1:25" x14ac:dyDescent="0.2">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row>
    <row r="205" spans="1:25" x14ac:dyDescent="0.2">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row>
    <row r="206" spans="1:25" x14ac:dyDescent="0.2">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row>
    <row r="207" spans="1:25" x14ac:dyDescent="0.2">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row>
    <row r="208" spans="1:25" x14ac:dyDescent="0.2">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row>
    <row r="209" spans="1:25" x14ac:dyDescent="0.2">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row>
    <row r="210" spans="1:25" x14ac:dyDescent="0.2">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row>
    <row r="211" spans="1:25" x14ac:dyDescent="0.2">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row>
    <row r="212" spans="1:25" x14ac:dyDescent="0.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row>
    <row r="213" spans="1:25" x14ac:dyDescent="0.2">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row>
    <row r="214" spans="1:25" x14ac:dyDescent="0.2">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row>
    <row r="215" spans="1:25" x14ac:dyDescent="0.2">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row>
    <row r="216" spans="1:25" x14ac:dyDescent="0.2">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row>
    <row r="217" spans="1:25" x14ac:dyDescent="0.2">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row>
    <row r="218" spans="1:25" x14ac:dyDescent="0.2">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row>
    <row r="219" spans="1:25" x14ac:dyDescent="0.2">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row>
    <row r="220" spans="1:25" x14ac:dyDescent="0.2">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row>
    <row r="221" spans="1:25" x14ac:dyDescent="0.2">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row>
    <row r="222" spans="1:25" x14ac:dyDescent="0.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row>
    <row r="223" spans="1:25" x14ac:dyDescent="0.2">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row>
    <row r="224" spans="1:25" x14ac:dyDescent="0.2">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row>
    <row r="225" spans="1:25" x14ac:dyDescent="0.2">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row>
    <row r="226" spans="1:25" x14ac:dyDescent="0.2">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row>
    <row r="227" spans="1:25" x14ac:dyDescent="0.2">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row>
    <row r="228" spans="1:25" x14ac:dyDescent="0.2">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row>
    <row r="229" spans="1:25" x14ac:dyDescent="0.2">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row>
    <row r="230" spans="1:25" x14ac:dyDescent="0.2">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row>
    <row r="231" spans="1:25" x14ac:dyDescent="0.2">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row>
    <row r="232" spans="1:25" x14ac:dyDescent="0.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row>
    <row r="233" spans="1:25" x14ac:dyDescent="0.2">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row>
    <row r="234" spans="1:25" x14ac:dyDescent="0.2">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row>
    <row r="235" spans="1:25" x14ac:dyDescent="0.2">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row>
    <row r="236" spans="1:25" x14ac:dyDescent="0.2">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row>
    <row r="237" spans="1:25" x14ac:dyDescent="0.2">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row>
    <row r="238" spans="1:25" x14ac:dyDescent="0.2">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row>
    <row r="239" spans="1:25" x14ac:dyDescent="0.2">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row>
    <row r="240" spans="1:25" x14ac:dyDescent="0.2">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row>
    <row r="241" spans="1:25" x14ac:dyDescent="0.2">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row>
    <row r="242" spans="1:25" x14ac:dyDescent="0.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row>
    <row r="243" spans="1:25" x14ac:dyDescent="0.2">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row>
    <row r="244" spans="1:25" x14ac:dyDescent="0.2">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row>
    <row r="245" spans="1:25" x14ac:dyDescent="0.2">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row>
    <row r="246" spans="1:25" x14ac:dyDescent="0.2">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row>
    <row r="247" spans="1:25" x14ac:dyDescent="0.2">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row>
    <row r="248" spans="1:25" x14ac:dyDescent="0.2">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row>
    <row r="249" spans="1:25" x14ac:dyDescent="0.2">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row>
    <row r="250" spans="1:25" x14ac:dyDescent="0.2">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row>
    <row r="251" spans="1:25" x14ac:dyDescent="0.2">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row>
    <row r="252" spans="1:25" x14ac:dyDescent="0.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row>
    <row r="253" spans="1:25" x14ac:dyDescent="0.2">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row>
    <row r="254" spans="1:25" x14ac:dyDescent="0.2">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row>
    <row r="255" spans="1:25" x14ac:dyDescent="0.2">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row>
    <row r="256" spans="1:25" x14ac:dyDescent="0.2">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row>
    <row r="257" spans="1:25" x14ac:dyDescent="0.2">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row>
    <row r="258" spans="1:25" x14ac:dyDescent="0.2">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row>
    <row r="259" spans="1:25" x14ac:dyDescent="0.2">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row>
    <row r="260" spans="1:25" x14ac:dyDescent="0.2">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row>
    <row r="261" spans="1:25" x14ac:dyDescent="0.2">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row>
    <row r="262" spans="1:25" x14ac:dyDescent="0.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row>
    <row r="263" spans="1:25" x14ac:dyDescent="0.2">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row>
    <row r="264" spans="1:25" x14ac:dyDescent="0.2">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row>
    <row r="265" spans="1:25" x14ac:dyDescent="0.2">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row>
    <row r="266" spans="1:25" x14ac:dyDescent="0.2">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row>
    <row r="267" spans="1:25" x14ac:dyDescent="0.2">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row>
    <row r="268" spans="1:25" x14ac:dyDescent="0.2">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row>
    <row r="269" spans="1:25" x14ac:dyDescent="0.2">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row>
    <row r="270" spans="1:25" x14ac:dyDescent="0.2">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row>
    <row r="271" spans="1:25" x14ac:dyDescent="0.2">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row>
    <row r="272" spans="1:25" x14ac:dyDescent="0.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row>
    <row r="273" spans="1:25" x14ac:dyDescent="0.2">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row>
    <row r="274" spans="1:25" x14ac:dyDescent="0.2">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row>
    <row r="275" spans="1:25" x14ac:dyDescent="0.2">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row>
    <row r="276" spans="1:25" x14ac:dyDescent="0.2">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row>
    <row r="277" spans="1:25" x14ac:dyDescent="0.2">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row>
    <row r="278" spans="1:25" x14ac:dyDescent="0.2">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row>
    <row r="279" spans="1:25" x14ac:dyDescent="0.2">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row>
    <row r="280" spans="1:25" x14ac:dyDescent="0.2">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row>
    <row r="281" spans="1:25" x14ac:dyDescent="0.2">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row>
    <row r="282" spans="1:25" x14ac:dyDescent="0.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row>
    <row r="283" spans="1:25" x14ac:dyDescent="0.2">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row>
    <row r="284" spans="1:25" x14ac:dyDescent="0.2">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row>
    <row r="285" spans="1:25" x14ac:dyDescent="0.2">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row>
    <row r="286" spans="1:25" x14ac:dyDescent="0.2">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row>
    <row r="287" spans="1:25" x14ac:dyDescent="0.2">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row>
    <row r="288" spans="1:25" x14ac:dyDescent="0.2">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row>
    <row r="289" spans="1:25" x14ac:dyDescent="0.2">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row>
    <row r="290" spans="1:25" x14ac:dyDescent="0.2">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row>
    <row r="291" spans="1:25" x14ac:dyDescent="0.2">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row>
    <row r="292" spans="1:25" x14ac:dyDescent="0.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row>
    <row r="293" spans="1:25" x14ac:dyDescent="0.2">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row>
    <row r="294" spans="1:25" x14ac:dyDescent="0.2">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row>
    <row r="295" spans="1:25" x14ac:dyDescent="0.2">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row>
    <row r="296" spans="1:25" x14ac:dyDescent="0.2">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row>
    <row r="297" spans="1:25" x14ac:dyDescent="0.2">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row>
    <row r="298" spans="1:25" x14ac:dyDescent="0.2">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row>
    <row r="299" spans="1:25" x14ac:dyDescent="0.2">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row>
    <row r="300" spans="1:25" x14ac:dyDescent="0.2">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row>
    <row r="301" spans="1:25" x14ac:dyDescent="0.2">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row>
    <row r="302" spans="1:25" x14ac:dyDescent="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row>
    <row r="303" spans="1:25" x14ac:dyDescent="0.2">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row>
    <row r="304" spans="1:25" x14ac:dyDescent="0.2">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row>
    <row r="305" spans="1:25" x14ac:dyDescent="0.2">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row>
    <row r="306" spans="1:25" x14ac:dyDescent="0.2">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row>
    <row r="307" spans="1:25" x14ac:dyDescent="0.2">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row>
    <row r="308" spans="1:25" x14ac:dyDescent="0.2">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row>
    <row r="309" spans="1:25" x14ac:dyDescent="0.2">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row>
    <row r="310" spans="1:25" x14ac:dyDescent="0.2">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row>
    <row r="311" spans="1:25" x14ac:dyDescent="0.2">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row>
    <row r="312" spans="1:25" x14ac:dyDescent="0.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row>
    <row r="313" spans="1:25" x14ac:dyDescent="0.2">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row>
    <row r="314" spans="1:25" x14ac:dyDescent="0.2">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row>
    <row r="315" spans="1:25" x14ac:dyDescent="0.2">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row>
    <row r="316" spans="1:25" x14ac:dyDescent="0.2">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row>
    <row r="317" spans="1:25" x14ac:dyDescent="0.2">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row>
    <row r="318" spans="1:25" x14ac:dyDescent="0.2">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row>
    <row r="319" spans="1:25" x14ac:dyDescent="0.2">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row>
    <row r="320" spans="1:25" x14ac:dyDescent="0.2">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row>
    <row r="321" spans="1:25" x14ac:dyDescent="0.2">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row>
    <row r="322" spans="1:25" x14ac:dyDescent="0.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row>
    <row r="323" spans="1:25" x14ac:dyDescent="0.2">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row>
    <row r="324" spans="1:25" x14ac:dyDescent="0.2">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row>
    <row r="325" spans="1:25" x14ac:dyDescent="0.2">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row>
    <row r="326" spans="1:25" x14ac:dyDescent="0.2">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row>
    <row r="327" spans="1:25" x14ac:dyDescent="0.2">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row>
    <row r="328" spans="1:25" x14ac:dyDescent="0.2">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row>
    <row r="329" spans="1:25" x14ac:dyDescent="0.2">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row>
    <row r="330" spans="1:25" x14ac:dyDescent="0.2">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row>
    <row r="331" spans="1:25" x14ac:dyDescent="0.2">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row>
    <row r="332" spans="1:25" x14ac:dyDescent="0.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row>
    <row r="333" spans="1:25" x14ac:dyDescent="0.2">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row>
    <row r="334" spans="1:25" x14ac:dyDescent="0.2">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row>
    <row r="335" spans="1:25" x14ac:dyDescent="0.2">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row>
    <row r="336" spans="1:25" x14ac:dyDescent="0.2">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row>
    <row r="337" spans="1:25" x14ac:dyDescent="0.2">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row>
    <row r="338" spans="1:25" x14ac:dyDescent="0.2">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row>
    <row r="339" spans="1:25" x14ac:dyDescent="0.2">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row>
    <row r="340" spans="1:25" x14ac:dyDescent="0.2">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row>
    <row r="341" spans="1:25" x14ac:dyDescent="0.2">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row>
    <row r="342" spans="1:25" x14ac:dyDescent="0.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row>
    <row r="343" spans="1:25" x14ac:dyDescent="0.2">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row>
    <row r="344" spans="1:25" x14ac:dyDescent="0.2">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row>
    <row r="345" spans="1:25" x14ac:dyDescent="0.2">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row>
    <row r="346" spans="1:25" x14ac:dyDescent="0.2">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row>
    <row r="347" spans="1:25" x14ac:dyDescent="0.2">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row>
    <row r="348" spans="1:25" x14ac:dyDescent="0.2">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row>
    <row r="349" spans="1:25" x14ac:dyDescent="0.2">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row>
    <row r="350" spans="1:25" x14ac:dyDescent="0.2">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row>
    <row r="351" spans="1:25" x14ac:dyDescent="0.2">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row>
    <row r="352" spans="1:25" x14ac:dyDescent="0.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row>
    <row r="353" spans="1:25" x14ac:dyDescent="0.2">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row>
    <row r="354" spans="1:25" x14ac:dyDescent="0.2">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row>
    <row r="355" spans="1:25" x14ac:dyDescent="0.2">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row>
    <row r="356" spans="1:25" x14ac:dyDescent="0.2">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row>
    <row r="357" spans="1:25" x14ac:dyDescent="0.2">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row>
    <row r="358" spans="1:25" x14ac:dyDescent="0.2">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row>
    <row r="359" spans="1:25" x14ac:dyDescent="0.2">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row>
    <row r="360" spans="1:25" x14ac:dyDescent="0.2">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row>
    <row r="361" spans="1:25" x14ac:dyDescent="0.2">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row>
    <row r="362" spans="1:25" x14ac:dyDescent="0.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row>
    <row r="363" spans="1:25" x14ac:dyDescent="0.2">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row>
    <row r="364" spans="1:25" x14ac:dyDescent="0.2">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row>
    <row r="365" spans="1:25" x14ac:dyDescent="0.2">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row>
    <row r="366" spans="1:25" x14ac:dyDescent="0.2">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row>
    <row r="367" spans="1:25" x14ac:dyDescent="0.2">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row>
    <row r="368" spans="1:25" x14ac:dyDescent="0.2">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row>
    <row r="369" spans="1:25" x14ac:dyDescent="0.2">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row>
    <row r="370" spans="1:25" x14ac:dyDescent="0.2">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row>
    <row r="371" spans="1:25" x14ac:dyDescent="0.2">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row>
    <row r="372" spans="1:25" x14ac:dyDescent="0.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row>
    <row r="373" spans="1:25" x14ac:dyDescent="0.2">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row>
    <row r="374" spans="1:25" x14ac:dyDescent="0.2">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row>
    <row r="375" spans="1:25" x14ac:dyDescent="0.2">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row>
    <row r="376" spans="1:25" x14ac:dyDescent="0.2">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row>
    <row r="377" spans="1:25" x14ac:dyDescent="0.2">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row>
    <row r="378" spans="1:25" x14ac:dyDescent="0.2">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row>
    <row r="379" spans="1:25" x14ac:dyDescent="0.2">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row>
    <row r="380" spans="1:25" x14ac:dyDescent="0.2">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row>
    <row r="381" spans="1:25" x14ac:dyDescent="0.2">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row>
    <row r="382" spans="1:25" x14ac:dyDescent="0.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row>
    <row r="383" spans="1:25" x14ac:dyDescent="0.2">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row>
    <row r="384" spans="1:25" x14ac:dyDescent="0.2">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row>
    <row r="385" spans="1:25" x14ac:dyDescent="0.2">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row>
    <row r="386" spans="1:25" x14ac:dyDescent="0.2">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row>
    <row r="387" spans="1:25" x14ac:dyDescent="0.2">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row>
    <row r="388" spans="1:25" x14ac:dyDescent="0.2">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row>
    <row r="389" spans="1:25" x14ac:dyDescent="0.2">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row>
    <row r="390" spans="1:25" x14ac:dyDescent="0.2">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row>
    <row r="391" spans="1:25" x14ac:dyDescent="0.2">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row>
    <row r="392" spans="1:25" x14ac:dyDescent="0.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row>
    <row r="393" spans="1:25" x14ac:dyDescent="0.2">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row>
    <row r="394" spans="1:25" x14ac:dyDescent="0.2">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row>
    <row r="395" spans="1:25" x14ac:dyDescent="0.2">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row>
    <row r="396" spans="1:25" x14ac:dyDescent="0.2">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row>
    <row r="397" spans="1:25" x14ac:dyDescent="0.2">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row>
    <row r="398" spans="1:25" x14ac:dyDescent="0.2">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row>
    <row r="399" spans="1:25" x14ac:dyDescent="0.2">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row>
    <row r="400" spans="1:25" x14ac:dyDescent="0.2">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row>
    <row r="401" spans="1:25" x14ac:dyDescent="0.2">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row>
    <row r="402" spans="1:25" x14ac:dyDescent="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row>
    <row r="403" spans="1:25" x14ac:dyDescent="0.2">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row>
    <row r="404" spans="1:25" x14ac:dyDescent="0.2">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row>
    <row r="405" spans="1:25" x14ac:dyDescent="0.2">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row>
    <row r="406" spans="1:25" x14ac:dyDescent="0.2">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row>
    <row r="407" spans="1:25" x14ac:dyDescent="0.2">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row>
    <row r="408" spans="1:25" x14ac:dyDescent="0.2">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row>
    <row r="409" spans="1:25" x14ac:dyDescent="0.2">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row>
    <row r="410" spans="1:25" x14ac:dyDescent="0.2">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row>
    <row r="411" spans="1:25" x14ac:dyDescent="0.2">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row>
    <row r="412" spans="1:25" x14ac:dyDescent="0.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row>
    <row r="413" spans="1:25" x14ac:dyDescent="0.2">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row>
    <row r="414" spans="1:25" x14ac:dyDescent="0.2">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row>
    <row r="415" spans="1:25" x14ac:dyDescent="0.2">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row>
    <row r="416" spans="1:25" x14ac:dyDescent="0.2">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row>
    <row r="417" spans="1:25" x14ac:dyDescent="0.2">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row>
    <row r="418" spans="1:25" x14ac:dyDescent="0.2">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row>
    <row r="419" spans="1:25" x14ac:dyDescent="0.2">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row>
    <row r="420" spans="1:25" x14ac:dyDescent="0.2">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row>
    <row r="421" spans="1:25" x14ac:dyDescent="0.2">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row>
    <row r="422" spans="1:25" x14ac:dyDescent="0.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row>
    <row r="423" spans="1:25" x14ac:dyDescent="0.2">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row>
    <row r="424" spans="1:25" x14ac:dyDescent="0.2">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row>
    <row r="425" spans="1:25" x14ac:dyDescent="0.2">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row>
    <row r="426" spans="1:25" x14ac:dyDescent="0.2">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row>
    <row r="427" spans="1:25" x14ac:dyDescent="0.2">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row>
    <row r="428" spans="1:25" x14ac:dyDescent="0.2">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row>
    <row r="429" spans="1:25" x14ac:dyDescent="0.2">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row>
    <row r="430" spans="1:25" x14ac:dyDescent="0.2">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row>
    <row r="431" spans="1:25" x14ac:dyDescent="0.2">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row>
    <row r="432" spans="1:25" x14ac:dyDescent="0.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row>
    <row r="433" spans="1:25" x14ac:dyDescent="0.2">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row>
    <row r="434" spans="1:25" x14ac:dyDescent="0.2">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row>
    <row r="435" spans="1:25" x14ac:dyDescent="0.2">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row>
    <row r="436" spans="1:25" x14ac:dyDescent="0.2">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row>
    <row r="437" spans="1:25" x14ac:dyDescent="0.2">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row>
    <row r="438" spans="1:25" x14ac:dyDescent="0.2">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row>
    <row r="439" spans="1:25" x14ac:dyDescent="0.2">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row>
    <row r="440" spans="1:25" x14ac:dyDescent="0.2">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row>
    <row r="441" spans="1:25" x14ac:dyDescent="0.2">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row>
    <row r="442" spans="1:25" x14ac:dyDescent="0.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row>
    <row r="443" spans="1:25" x14ac:dyDescent="0.2">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row>
    <row r="444" spans="1:25" x14ac:dyDescent="0.2">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row>
    <row r="445" spans="1:25" x14ac:dyDescent="0.2">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row>
    <row r="446" spans="1:25" x14ac:dyDescent="0.2">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row>
    <row r="447" spans="1:25" x14ac:dyDescent="0.2">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row>
    <row r="448" spans="1:25" x14ac:dyDescent="0.2">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row>
    <row r="449" spans="1:25" x14ac:dyDescent="0.2">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row>
    <row r="450" spans="1:25" x14ac:dyDescent="0.2">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row>
    <row r="451" spans="1:25" x14ac:dyDescent="0.2">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row>
    <row r="452" spans="1:25" x14ac:dyDescent="0.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row>
    <row r="453" spans="1:25" x14ac:dyDescent="0.2">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row>
    <row r="454" spans="1:25" x14ac:dyDescent="0.2">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row>
    <row r="455" spans="1:25" x14ac:dyDescent="0.2">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row>
    <row r="456" spans="1:25" x14ac:dyDescent="0.2">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row>
    <row r="457" spans="1:25" x14ac:dyDescent="0.2">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row>
    <row r="458" spans="1:25" x14ac:dyDescent="0.2">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row>
    <row r="459" spans="1:25" x14ac:dyDescent="0.2">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row>
    <row r="460" spans="1:25" x14ac:dyDescent="0.2">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row>
    <row r="461" spans="1:25" x14ac:dyDescent="0.2">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row>
    <row r="462" spans="1:25" x14ac:dyDescent="0.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row>
    <row r="463" spans="1:25" x14ac:dyDescent="0.2">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row>
    <row r="464" spans="1:25" x14ac:dyDescent="0.2">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row>
    <row r="465" spans="1:25" x14ac:dyDescent="0.2">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row>
    <row r="466" spans="1:25" x14ac:dyDescent="0.2">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row>
    <row r="467" spans="1:25" x14ac:dyDescent="0.2">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row>
    <row r="468" spans="1:25" x14ac:dyDescent="0.2">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row>
    <row r="469" spans="1:25" x14ac:dyDescent="0.2">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row>
    <row r="470" spans="1:25" x14ac:dyDescent="0.2">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row>
    <row r="471" spans="1:25" x14ac:dyDescent="0.2">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row>
    <row r="472" spans="1:25" x14ac:dyDescent="0.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row>
    <row r="473" spans="1:25" x14ac:dyDescent="0.2">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row>
    <row r="474" spans="1:25" x14ac:dyDescent="0.2">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row>
    <row r="475" spans="1:25" x14ac:dyDescent="0.2">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row>
    <row r="476" spans="1:25" x14ac:dyDescent="0.2">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row>
    <row r="477" spans="1:25" x14ac:dyDescent="0.2">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row>
    <row r="478" spans="1:25" x14ac:dyDescent="0.2">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row>
    <row r="479" spans="1:25" x14ac:dyDescent="0.2">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row>
    <row r="480" spans="1:25" x14ac:dyDescent="0.2">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row>
    <row r="481" spans="1:25" x14ac:dyDescent="0.2">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row>
    <row r="482" spans="1:25" x14ac:dyDescent="0.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row>
    <row r="483" spans="1:25" x14ac:dyDescent="0.2">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row>
    <row r="484" spans="1:25" x14ac:dyDescent="0.2">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row>
    <row r="485" spans="1:25" x14ac:dyDescent="0.2">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row>
    <row r="486" spans="1:25" x14ac:dyDescent="0.2">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row>
    <row r="487" spans="1:25" x14ac:dyDescent="0.2">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row>
    <row r="488" spans="1:25" x14ac:dyDescent="0.2">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row>
    <row r="489" spans="1:25" x14ac:dyDescent="0.2">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row>
    <row r="490" spans="1:25" x14ac:dyDescent="0.2">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row>
    <row r="491" spans="1:25" x14ac:dyDescent="0.2">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row>
    <row r="492" spans="1:25" x14ac:dyDescent="0.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row>
    <row r="493" spans="1:25" x14ac:dyDescent="0.2">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row>
    <row r="494" spans="1:25" x14ac:dyDescent="0.2">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row>
    <row r="495" spans="1:25" x14ac:dyDescent="0.2">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row>
    <row r="496" spans="1:25" x14ac:dyDescent="0.2">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row>
    <row r="497" spans="1:25" x14ac:dyDescent="0.2">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row>
    <row r="498" spans="1:25" x14ac:dyDescent="0.2">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row>
    <row r="499" spans="1:25" x14ac:dyDescent="0.2">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row>
    <row r="500" spans="1:25" x14ac:dyDescent="0.2">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row>
    <row r="501" spans="1:25" x14ac:dyDescent="0.2">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row>
    <row r="502" spans="1:25" x14ac:dyDescent="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row>
    <row r="503" spans="1:25" x14ac:dyDescent="0.2">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row>
    <row r="504" spans="1:25" x14ac:dyDescent="0.2">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row>
    <row r="505" spans="1:25" x14ac:dyDescent="0.2">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row>
    <row r="506" spans="1:25" x14ac:dyDescent="0.2">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row>
    <row r="507" spans="1:25" x14ac:dyDescent="0.2">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row>
    <row r="508" spans="1:25" x14ac:dyDescent="0.2">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row>
    <row r="509" spans="1:25" x14ac:dyDescent="0.2">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row>
    <row r="510" spans="1:25" x14ac:dyDescent="0.2">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row>
    <row r="511" spans="1:25" x14ac:dyDescent="0.2">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row>
    <row r="512" spans="1:25" x14ac:dyDescent="0.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row>
    <row r="513" spans="1:25" x14ac:dyDescent="0.2">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row>
    <row r="514" spans="1:25" x14ac:dyDescent="0.2">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row>
    <row r="515" spans="1:25" x14ac:dyDescent="0.2">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row>
    <row r="516" spans="1:25" x14ac:dyDescent="0.2">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row>
    <row r="517" spans="1:25" x14ac:dyDescent="0.2">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row>
    <row r="518" spans="1:25" x14ac:dyDescent="0.2">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row>
    <row r="519" spans="1:25" x14ac:dyDescent="0.2">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row>
    <row r="520" spans="1:25" x14ac:dyDescent="0.2">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row>
    <row r="521" spans="1:25" x14ac:dyDescent="0.2">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row>
    <row r="522" spans="1:25" x14ac:dyDescent="0.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row>
    <row r="523" spans="1:25" x14ac:dyDescent="0.2">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row>
    <row r="524" spans="1:25" x14ac:dyDescent="0.2">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row>
    <row r="525" spans="1:25" x14ac:dyDescent="0.2">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row>
    <row r="526" spans="1:25" x14ac:dyDescent="0.2">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row>
    <row r="527" spans="1:25" x14ac:dyDescent="0.2">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row>
    <row r="528" spans="1:25" x14ac:dyDescent="0.2">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row>
    <row r="529" spans="1:25" x14ac:dyDescent="0.2">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row>
    <row r="530" spans="1:25" x14ac:dyDescent="0.2">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row>
    <row r="531" spans="1:25" x14ac:dyDescent="0.2">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row>
    <row r="532" spans="1:25" x14ac:dyDescent="0.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row>
    <row r="533" spans="1:25" x14ac:dyDescent="0.2">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row>
    <row r="534" spans="1:25" x14ac:dyDescent="0.2">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row>
    <row r="535" spans="1:25" x14ac:dyDescent="0.2">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row>
    <row r="536" spans="1:25" x14ac:dyDescent="0.2">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row>
    <row r="537" spans="1:25" x14ac:dyDescent="0.2">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row>
    <row r="538" spans="1:25" x14ac:dyDescent="0.2">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row>
    <row r="539" spans="1:25" x14ac:dyDescent="0.2">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row>
    <row r="540" spans="1:25" x14ac:dyDescent="0.2">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row>
    <row r="541" spans="1:25" x14ac:dyDescent="0.2">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row>
    <row r="542" spans="1:25" x14ac:dyDescent="0.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row>
    <row r="543" spans="1:25" x14ac:dyDescent="0.2">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row>
    <row r="544" spans="1:25" x14ac:dyDescent="0.2">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row>
    <row r="545" spans="1:25" x14ac:dyDescent="0.2">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row>
    <row r="546" spans="1:25" x14ac:dyDescent="0.2">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row>
    <row r="547" spans="1:25" x14ac:dyDescent="0.2">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row>
    <row r="548" spans="1:25" x14ac:dyDescent="0.2">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row>
    <row r="549" spans="1:25" x14ac:dyDescent="0.2">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row>
    <row r="550" spans="1:25" x14ac:dyDescent="0.2">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row>
    <row r="551" spans="1:25" x14ac:dyDescent="0.2">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row>
    <row r="552" spans="1:25" x14ac:dyDescent="0.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row>
    <row r="553" spans="1:25" x14ac:dyDescent="0.2">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row>
    <row r="554" spans="1:25" x14ac:dyDescent="0.2">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row>
    <row r="555" spans="1:25" x14ac:dyDescent="0.2">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row>
    <row r="556" spans="1:25" x14ac:dyDescent="0.2">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row>
    <row r="557" spans="1:25" x14ac:dyDescent="0.2">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row>
    <row r="558" spans="1:25" x14ac:dyDescent="0.2">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row>
    <row r="559" spans="1:25" x14ac:dyDescent="0.2">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row>
    <row r="560" spans="1:25" x14ac:dyDescent="0.2">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row>
    <row r="561" spans="1:25" x14ac:dyDescent="0.2">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row>
    <row r="562" spans="1:25" x14ac:dyDescent="0.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row>
    <row r="563" spans="1:25" x14ac:dyDescent="0.2">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row>
    <row r="564" spans="1:25" x14ac:dyDescent="0.2">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row>
    <row r="565" spans="1:25" x14ac:dyDescent="0.2">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row>
    <row r="566" spans="1:25" x14ac:dyDescent="0.2">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row>
    <row r="567" spans="1:25" x14ac:dyDescent="0.2">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row>
    <row r="568" spans="1:25" x14ac:dyDescent="0.2">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row>
    <row r="569" spans="1:25" x14ac:dyDescent="0.2">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row>
    <row r="570" spans="1:25" x14ac:dyDescent="0.2">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row>
    <row r="571" spans="1:25" x14ac:dyDescent="0.2">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row>
    <row r="572" spans="1:25" x14ac:dyDescent="0.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row>
    <row r="573" spans="1:25" x14ac:dyDescent="0.2">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row>
    <row r="574" spans="1:25" x14ac:dyDescent="0.2">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row>
    <row r="575" spans="1:25" x14ac:dyDescent="0.2">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row>
    <row r="576" spans="1:25" x14ac:dyDescent="0.2">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row>
    <row r="577" spans="1:25" x14ac:dyDescent="0.2">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row>
    <row r="578" spans="1:25" x14ac:dyDescent="0.2">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row>
    <row r="579" spans="1:25" x14ac:dyDescent="0.2">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row>
    <row r="580" spans="1:25" x14ac:dyDescent="0.2">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row>
    <row r="581" spans="1:25" x14ac:dyDescent="0.2">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row>
    <row r="582" spans="1:25" x14ac:dyDescent="0.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row>
    <row r="583" spans="1:25" x14ac:dyDescent="0.2">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row>
    <row r="584" spans="1:25" x14ac:dyDescent="0.2">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row>
    <row r="585" spans="1:25" x14ac:dyDescent="0.2">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row>
    <row r="586" spans="1:25" x14ac:dyDescent="0.2">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row>
    <row r="587" spans="1:25" x14ac:dyDescent="0.2">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row>
    <row r="588" spans="1:25" x14ac:dyDescent="0.2">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row>
    <row r="589" spans="1:25" x14ac:dyDescent="0.2">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row>
    <row r="590" spans="1:25" x14ac:dyDescent="0.2">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row>
    <row r="591" spans="1:25" x14ac:dyDescent="0.2">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row>
    <row r="592" spans="1:25" x14ac:dyDescent="0.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row>
    <row r="593" spans="1:25" x14ac:dyDescent="0.2">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row>
    <row r="594" spans="1:25" x14ac:dyDescent="0.2">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row>
    <row r="595" spans="1:25" x14ac:dyDescent="0.2">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row>
    <row r="596" spans="1:25" x14ac:dyDescent="0.2">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row>
    <row r="597" spans="1:25" x14ac:dyDescent="0.2">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row>
    <row r="598" spans="1:25" x14ac:dyDescent="0.2">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row>
    <row r="599" spans="1:25" x14ac:dyDescent="0.2">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row>
    <row r="600" spans="1:25" x14ac:dyDescent="0.2">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row>
    <row r="601" spans="1:25" x14ac:dyDescent="0.2">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row>
    <row r="602" spans="1:25" x14ac:dyDescent="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row>
    <row r="603" spans="1:25" x14ac:dyDescent="0.2">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row>
    <row r="604" spans="1:25" x14ac:dyDescent="0.2">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row>
    <row r="605" spans="1:25" x14ac:dyDescent="0.2">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row>
    <row r="606" spans="1:25" x14ac:dyDescent="0.2">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row>
    <row r="607" spans="1:25" x14ac:dyDescent="0.2">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row>
    <row r="608" spans="1:25" x14ac:dyDescent="0.2">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row>
    <row r="609" spans="1:25" x14ac:dyDescent="0.2">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row>
    <row r="610" spans="1:25" x14ac:dyDescent="0.2">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row>
    <row r="611" spans="1:25" x14ac:dyDescent="0.2">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row>
    <row r="612" spans="1:25" x14ac:dyDescent="0.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row>
    <row r="613" spans="1:25" x14ac:dyDescent="0.2">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row>
    <row r="614" spans="1:25" x14ac:dyDescent="0.2">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row>
    <row r="615" spans="1:25" x14ac:dyDescent="0.2">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row>
    <row r="616" spans="1:25" x14ac:dyDescent="0.2">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row>
    <row r="617" spans="1:25" x14ac:dyDescent="0.2">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row>
    <row r="618" spans="1:25" x14ac:dyDescent="0.2">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row>
    <row r="619" spans="1:25" x14ac:dyDescent="0.2">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row>
    <row r="620" spans="1:25" x14ac:dyDescent="0.2">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row>
    <row r="621" spans="1:25" x14ac:dyDescent="0.2">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row>
    <row r="622" spans="1:25" x14ac:dyDescent="0.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row>
    <row r="623" spans="1:25" x14ac:dyDescent="0.2">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row>
    <row r="624" spans="1:25" x14ac:dyDescent="0.2">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row>
    <row r="625" spans="1:25" x14ac:dyDescent="0.2">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row>
    <row r="626" spans="1:25" x14ac:dyDescent="0.2">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row>
    <row r="627" spans="1:25" x14ac:dyDescent="0.2">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row>
    <row r="628" spans="1:25" x14ac:dyDescent="0.2">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row>
    <row r="629" spans="1:25" x14ac:dyDescent="0.2">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row>
    <row r="630" spans="1:25" x14ac:dyDescent="0.2">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row>
    <row r="631" spans="1:25" x14ac:dyDescent="0.2">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row>
    <row r="632" spans="1:25" x14ac:dyDescent="0.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row>
    <row r="633" spans="1:25" x14ac:dyDescent="0.2">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row>
    <row r="634" spans="1:25" x14ac:dyDescent="0.2">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row>
    <row r="635" spans="1:25" x14ac:dyDescent="0.2">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row>
    <row r="636" spans="1:25" x14ac:dyDescent="0.2">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row>
    <row r="637" spans="1:25" x14ac:dyDescent="0.2">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row>
    <row r="638" spans="1:25" x14ac:dyDescent="0.2">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row>
    <row r="639" spans="1:25" x14ac:dyDescent="0.2">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row>
    <row r="640" spans="1:25" x14ac:dyDescent="0.2">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row>
    <row r="641" spans="1:25" x14ac:dyDescent="0.2">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row>
    <row r="642" spans="1:25" x14ac:dyDescent="0.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row>
    <row r="643" spans="1:25" x14ac:dyDescent="0.2">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row>
    <row r="644" spans="1:25" x14ac:dyDescent="0.2">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row>
    <row r="645" spans="1:25" x14ac:dyDescent="0.2">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row>
    <row r="646" spans="1:25" x14ac:dyDescent="0.2">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row>
    <row r="647" spans="1:25" x14ac:dyDescent="0.2">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row>
    <row r="648" spans="1:25" x14ac:dyDescent="0.2">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row>
    <row r="649" spans="1:25" x14ac:dyDescent="0.2">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row>
    <row r="650" spans="1:25" x14ac:dyDescent="0.2">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row>
    <row r="651" spans="1:25" x14ac:dyDescent="0.2">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row>
    <row r="652" spans="1:25" x14ac:dyDescent="0.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row>
    <row r="653" spans="1:25" x14ac:dyDescent="0.2">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row>
    <row r="654" spans="1:25" x14ac:dyDescent="0.2">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row>
    <row r="655" spans="1:25" x14ac:dyDescent="0.2">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row>
    <row r="656" spans="1:25" x14ac:dyDescent="0.2">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row>
    <row r="657" spans="1:25" x14ac:dyDescent="0.2">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row>
    <row r="658" spans="1:25" x14ac:dyDescent="0.2">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row>
    <row r="659" spans="1:25" x14ac:dyDescent="0.2">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row>
    <row r="660" spans="1:25" x14ac:dyDescent="0.2">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row>
    <row r="661" spans="1:25" x14ac:dyDescent="0.2">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row>
    <row r="662" spans="1:25" x14ac:dyDescent="0.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row>
    <row r="663" spans="1:25" x14ac:dyDescent="0.2">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row>
    <row r="664" spans="1:25" x14ac:dyDescent="0.2">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row>
    <row r="665" spans="1:25" x14ac:dyDescent="0.2">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row>
    <row r="666" spans="1:25" x14ac:dyDescent="0.2">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row>
    <row r="667" spans="1:25" x14ac:dyDescent="0.2">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row>
    <row r="668" spans="1:25" x14ac:dyDescent="0.2">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row>
    <row r="669" spans="1:25" x14ac:dyDescent="0.2">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row>
    <row r="670" spans="1:25" x14ac:dyDescent="0.2">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row>
    <row r="671" spans="1:25" x14ac:dyDescent="0.2">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row>
    <row r="672" spans="1:25" x14ac:dyDescent="0.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row>
    <row r="673" spans="1:25" x14ac:dyDescent="0.2">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row>
    <row r="674" spans="1:25" x14ac:dyDescent="0.2">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row>
    <row r="675" spans="1:25" x14ac:dyDescent="0.2">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row>
    <row r="676" spans="1:25" x14ac:dyDescent="0.2">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row>
    <row r="677" spans="1:25" x14ac:dyDescent="0.2">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row>
    <row r="678" spans="1:25" x14ac:dyDescent="0.2">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row>
    <row r="679" spans="1:25" x14ac:dyDescent="0.2">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row>
    <row r="680" spans="1:25" x14ac:dyDescent="0.2">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row>
    <row r="681" spans="1:25" x14ac:dyDescent="0.2">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row>
    <row r="682" spans="1:25" x14ac:dyDescent="0.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row>
    <row r="683" spans="1:25" x14ac:dyDescent="0.2">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row>
    <row r="684" spans="1:25" x14ac:dyDescent="0.2">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row>
    <row r="685" spans="1:25" x14ac:dyDescent="0.2">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row>
    <row r="686" spans="1:25" x14ac:dyDescent="0.2">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row>
    <row r="687" spans="1:25" x14ac:dyDescent="0.2">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row>
    <row r="688" spans="1:25" x14ac:dyDescent="0.2">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row>
    <row r="689" spans="1:25" x14ac:dyDescent="0.2">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row>
    <row r="690" spans="1:25" x14ac:dyDescent="0.2">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row>
    <row r="691" spans="1:25" x14ac:dyDescent="0.2">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row>
    <row r="692" spans="1:25" x14ac:dyDescent="0.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row>
    <row r="693" spans="1:25" x14ac:dyDescent="0.2">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row>
    <row r="694" spans="1:25" x14ac:dyDescent="0.2">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row>
    <row r="695" spans="1:25" x14ac:dyDescent="0.2">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row>
    <row r="696" spans="1:25" x14ac:dyDescent="0.2">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row>
    <row r="697" spans="1:25" x14ac:dyDescent="0.2">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row>
    <row r="698" spans="1:25" x14ac:dyDescent="0.2">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row>
    <row r="699" spans="1:25" x14ac:dyDescent="0.2">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row>
    <row r="700" spans="1:25" x14ac:dyDescent="0.2">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row>
    <row r="701" spans="1:25" x14ac:dyDescent="0.2">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row>
    <row r="702" spans="1:25" x14ac:dyDescent="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row>
    <row r="703" spans="1:25" x14ac:dyDescent="0.2">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row>
    <row r="704" spans="1:25" x14ac:dyDescent="0.2">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row>
    <row r="705" spans="1:25" x14ac:dyDescent="0.2">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row>
    <row r="706" spans="1:25" x14ac:dyDescent="0.2">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row>
    <row r="707" spans="1:25" x14ac:dyDescent="0.2">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row>
    <row r="708" spans="1:25" x14ac:dyDescent="0.2">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row>
    <row r="709" spans="1:25" x14ac:dyDescent="0.2">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row>
    <row r="710" spans="1:25" x14ac:dyDescent="0.2">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row>
    <row r="711" spans="1:25" x14ac:dyDescent="0.2">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row>
    <row r="712" spans="1:25" x14ac:dyDescent="0.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row>
    <row r="713" spans="1:25" x14ac:dyDescent="0.2">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row>
    <row r="714" spans="1:25" x14ac:dyDescent="0.2">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row>
    <row r="715" spans="1:25" x14ac:dyDescent="0.2">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row>
    <row r="716" spans="1:25" x14ac:dyDescent="0.2">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row>
    <row r="717" spans="1:25" x14ac:dyDescent="0.2">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row>
    <row r="718" spans="1:25" x14ac:dyDescent="0.2">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row>
    <row r="719" spans="1:25" x14ac:dyDescent="0.2">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row>
    <row r="720" spans="1:25" x14ac:dyDescent="0.2">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row>
    <row r="721" spans="1:25" x14ac:dyDescent="0.2">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row>
    <row r="722" spans="1:25" x14ac:dyDescent="0.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row>
    <row r="723" spans="1:25" x14ac:dyDescent="0.2">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row>
    <row r="724" spans="1:25" x14ac:dyDescent="0.2">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row>
    <row r="725" spans="1:25" x14ac:dyDescent="0.2">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row>
    <row r="726" spans="1:25" x14ac:dyDescent="0.2">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row>
    <row r="727" spans="1:25" x14ac:dyDescent="0.2">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row>
    <row r="728" spans="1:25" x14ac:dyDescent="0.2">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row>
    <row r="729" spans="1:25" x14ac:dyDescent="0.2">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row>
    <row r="730" spans="1:25" x14ac:dyDescent="0.2">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row>
    <row r="731" spans="1:25" x14ac:dyDescent="0.2">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row>
    <row r="732" spans="1:25" x14ac:dyDescent="0.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row>
    <row r="733" spans="1:25" x14ac:dyDescent="0.2">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row>
    <row r="734" spans="1:25" x14ac:dyDescent="0.2">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row>
    <row r="735" spans="1:25" x14ac:dyDescent="0.2">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row>
    <row r="736" spans="1:25" x14ac:dyDescent="0.2">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row>
    <row r="737" spans="1:25" x14ac:dyDescent="0.2">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row>
    <row r="738" spans="1:25" x14ac:dyDescent="0.2">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row>
    <row r="739" spans="1:25" x14ac:dyDescent="0.2">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row>
    <row r="740" spans="1:25" x14ac:dyDescent="0.2">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row>
    <row r="741" spans="1:25" x14ac:dyDescent="0.2">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row>
    <row r="742" spans="1:25" x14ac:dyDescent="0.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row>
    <row r="743" spans="1:25" x14ac:dyDescent="0.2">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row>
    <row r="744" spans="1:25" x14ac:dyDescent="0.2">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row>
    <row r="745" spans="1:25" x14ac:dyDescent="0.2">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row>
    <row r="746" spans="1:25" x14ac:dyDescent="0.2">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row>
    <row r="747" spans="1:25" x14ac:dyDescent="0.2">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row>
    <row r="748" spans="1:25" x14ac:dyDescent="0.2">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row>
    <row r="749" spans="1:25" x14ac:dyDescent="0.2">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row>
    <row r="750" spans="1:25" x14ac:dyDescent="0.2">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row>
    <row r="751" spans="1:25" x14ac:dyDescent="0.2">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row>
    <row r="752" spans="1:25" x14ac:dyDescent="0.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row>
    <row r="753" spans="1:25" x14ac:dyDescent="0.2">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row>
    <row r="754" spans="1:25" x14ac:dyDescent="0.2">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row>
    <row r="755" spans="1:25" x14ac:dyDescent="0.2">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row>
    <row r="756" spans="1:25" x14ac:dyDescent="0.2">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row>
    <row r="757" spans="1:25" x14ac:dyDescent="0.2">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row>
    <row r="758" spans="1:25" x14ac:dyDescent="0.2">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row>
    <row r="759" spans="1:25" x14ac:dyDescent="0.2">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row>
    <row r="760" spans="1:25" x14ac:dyDescent="0.2">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row>
    <row r="761" spans="1:25" x14ac:dyDescent="0.2">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row>
    <row r="762" spans="1:25" x14ac:dyDescent="0.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row>
    <row r="763" spans="1:25" x14ac:dyDescent="0.2">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row>
    <row r="764" spans="1:25" x14ac:dyDescent="0.2">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row>
    <row r="765" spans="1:25" x14ac:dyDescent="0.2">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row>
    <row r="766" spans="1:25" x14ac:dyDescent="0.2">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row>
    <row r="767" spans="1:25" x14ac:dyDescent="0.2">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row>
    <row r="768" spans="1:25" x14ac:dyDescent="0.2">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row>
    <row r="769" spans="1:25" x14ac:dyDescent="0.2">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row>
    <row r="770" spans="1:25" x14ac:dyDescent="0.2">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row>
    <row r="771" spans="1:25" x14ac:dyDescent="0.2">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row>
    <row r="772" spans="1:25" x14ac:dyDescent="0.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row>
    <row r="773" spans="1:25" x14ac:dyDescent="0.2">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row>
    <row r="774" spans="1:25" x14ac:dyDescent="0.2">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row>
    <row r="775" spans="1:25" x14ac:dyDescent="0.2">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row>
    <row r="776" spans="1:25" x14ac:dyDescent="0.2">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row>
    <row r="777" spans="1:25" x14ac:dyDescent="0.2">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row>
    <row r="778" spans="1:25" x14ac:dyDescent="0.2">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row>
    <row r="779" spans="1:25" x14ac:dyDescent="0.2">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row>
    <row r="780" spans="1:25" x14ac:dyDescent="0.2">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row>
    <row r="781" spans="1:25" x14ac:dyDescent="0.2">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row>
    <row r="782" spans="1:25" x14ac:dyDescent="0.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row>
    <row r="783" spans="1:25" x14ac:dyDescent="0.2">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row>
    <row r="784" spans="1:25" x14ac:dyDescent="0.2">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row>
    <row r="785" spans="1:25" x14ac:dyDescent="0.2">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row>
    <row r="786" spans="1:25" x14ac:dyDescent="0.2">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row>
    <row r="787" spans="1:25" x14ac:dyDescent="0.2">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row>
    <row r="788" spans="1:25" x14ac:dyDescent="0.2">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row>
    <row r="789" spans="1:25" x14ac:dyDescent="0.2">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row>
    <row r="790" spans="1:25" x14ac:dyDescent="0.2">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row>
    <row r="791" spans="1:25" x14ac:dyDescent="0.2">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row>
    <row r="792" spans="1:25" x14ac:dyDescent="0.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row>
    <row r="793" spans="1:25" x14ac:dyDescent="0.2">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row>
    <row r="794" spans="1:25" x14ac:dyDescent="0.2">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row>
    <row r="795" spans="1:25" x14ac:dyDescent="0.2">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row>
    <row r="796" spans="1:25" x14ac:dyDescent="0.2">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row>
    <row r="797" spans="1:25" x14ac:dyDescent="0.2">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row>
    <row r="798" spans="1:25" x14ac:dyDescent="0.2">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row>
    <row r="799" spans="1:25" x14ac:dyDescent="0.2">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row>
    <row r="800" spans="1:25" x14ac:dyDescent="0.2">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row>
    <row r="801" spans="1:25" x14ac:dyDescent="0.2">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row>
    <row r="802" spans="1:25" x14ac:dyDescent="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row>
    <row r="803" spans="1:25" x14ac:dyDescent="0.2">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row>
    <row r="804" spans="1:25" x14ac:dyDescent="0.2">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row>
    <row r="805" spans="1:25" x14ac:dyDescent="0.2">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row>
    <row r="806" spans="1:25" x14ac:dyDescent="0.2">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row>
    <row r="807" spans="1:25" x14ac:dyDescent="0.2">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row>
    <row r="808" spans="1:25" x14ac:dyDescent="0.2">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row>
    <row r="809" spans="1:25" x14ac:dyDescent="0.2">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row>
    <row r="810" spans="1:25" x14ac:dyDescent="0.2">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row>
    <row r="811" spans="1:25" x14ac:dyDescent="0.2">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row>
    <row r="812" spans="1:25" x14ac:dyDescent="0.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row>
    <row r="813" spans="1:25" x14ac:dyDescent="0.2">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row>
    <row r="814" spans="1:25" x14ac:dyDescent="0.2">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row>
    <row r="815" spans="1:25" x14ac:dyDescent="0.2">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row>
    <row r="816" spans="1:25" x14ac:dyDescent="0.2">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row>
    <row r="817" spans="1:25" x14ac:dyDescent="0.2">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row>
    <row r="818" spans="1:25" x14ac:dyDescent="0.2">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row>
    <row r="819" spans="1:25" x14ac:dyDescent="0.2">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row>
    <row r="820" spans="1:25" x14ac:dyDescent="0.2">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row>
    <row r="821" spans="1:25" x14ac:dyDescent="0.2">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row>
    <row r="822" spans="1:25" x14ac:dyDescent="0.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row>
    <row r="823" spans="1:25" x14ac:dyDescent="0.2">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row>
    <row r="824" spans="1:25" x14ac:dyDescent="0.2">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row>
    <row r="825" spans="1:25" x14ac:dyDescent="0.2">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row>
    <row r="826" spans="1:25" x14ac:dyDescent="0.2">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row>
    <row r="827" spans="1:25" x14ac:dyDescent="0.2">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row>
    <row r="828" spans="1:25" x14ac:dyDescent="0.2">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row>
    <row r="829" spans="1:25" x14ac:dyDescent="0.2">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row>
    <row r="830" spans="1:25" x14ac:dyDescent="0.2">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row>
    <row r="831" spans="1:25" x14ac:dyDescent="0.2">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row>
    <row r="832" spans="1:25" x14ac:dyDescent="0.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row>
    <row r="833" spans="1:25" x14ac:dyDescent="0.2">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row>
    <row r="834" spans="1:25" x14ac:dyDescent="0.2">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row>
    <row r="835" spans="1:25" x14ac:dyDescent="0.2">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row>
    <row r="836" spans="1:25" x14ac:dyDescent="0.2">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row>
    <row r="837" spans="1:25" x14ac:dyDescent="0.2">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row>
    <row r="838" spans="1:25" x14ac:dyDescent="0.2">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row>
    <row r="839" spans="1:25" x14ac:dyDescent="0.2">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row>
    <row r="840" spans="1:25" x14ac:dyDescent="0.2">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row>
    <row r="841" spans="1:25" x14ac:dyDescent="0.2">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row>
    <row r="842" spans="1:25" x14ac:dyDescent="0.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row>
    <row r="843" spans="1:25" x14ac:dyDescent="0.2">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row>
    <row r="844" spans="1:25" x14ac:dyDescent="0.2">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row>
    <row r="845" spans="1:25" x14ac:dyDescent="0.2">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row>
    <row r="846" spans="1:25" x14ac:dyDescent="0.2">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row>
    <row r="847" spans="1:25" x14ac:dyDescent="0.2">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row>
    <row r="848" spans="1:25" x14ac:dyDescent="0.2">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row>
    <row r="849" spans="1:25" x14ac:dyDescent="0.2">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row>
    <row r="850" spans="1:25" x14ac:dyDescent="0.2">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row>
    <row r="851" spans="1:25" x14ac:dyDescent="0.2">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row>
    <row r="852" spans="1:25" x14ac:dyDescent="0.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row>
    <row r="853" spans="1:25" x14ac:dyDescent="0.2">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row>
    <row r="854" spans="1:25" x14ac:dyDescent="0.2">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row>
    <row r="855" spans="1:25" x14ac:dyDescent="0.2">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row>
    <row r="856" spans="1:25" x14ac:dyDescent="0.2">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row>
    <row r="857" spans="1:25" x14ac:dyDescent="0.2">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row>
    <row r="858" spans="1:25" x14ac:dyDescent="0.2">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row>
    <row r="859" spans="1:25" x14ac:dyDescent="0.2">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row>
    <row r="860" spans="1:25" x14ac:dyDescent="0.2">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row>
    <row r="861" spans="1:25" x14ac:dyDescent="0.2">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row>
    <row r="862" spans="1:25" x14ac:dyDescent="0.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row>
    <row r="863" spans="1:25" x14ac:dyDescent="0.2">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row>
    <row r="864" spans="1:25" x14ac:dyDescent="0.2">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row>
    <row r="865" spans="1:25" x14ac:dyDescent="0.2">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row>
    <row r="866" spans="1:25" x14ac:dyDescent="0.2">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row>
    <row r="867" spans="1:25" x14ac:dyDescent="0.2">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row>
    <row r="868" spans="1:25" x14ac:dyDescent="0.2">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row>
    <row r="869" spans="1:25" x14ac:dyDescent="0.2">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row>
    <row r="870" spans="1:25" x14ac:dyDescent="0.2">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row>
    <row r="871" spans="1:25" x14ac:dyDescent="0.2">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row>
    <row r="872" spans="1:25" x14ac:dyDescent="0.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row>
    <row r="873" spans="1:25" x14ac:dyDescent="0.2">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row>
    <row r="874" spans="1:25" x14ac:dyDescent="0.2">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row>
    <row r="875" spans="1:25" x14ac:dyDescent="0.2">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row>
    <row r="876" spans="1:25" x14ac:dyDescent="0.2">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row>
    <row r="877" spans="1:25" x14ac:dyDescent="0.2">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row>
    <row r="878" spans="1:25" x14ac:dyDescent="0.2">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row>
    <row r="879" spans="1:25" x14ac:dyDescent="0.2">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row>
    <row r="880" spans="1:25" x14ac:dyDescent="0.2">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row>
    <row r="881" spans="1:25" x14ac:dyDescent="0.2">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row>
    <row r="882" spans="1:25" x14ac:dyDescent="0.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row>
    <row r="883" spans="1:25" x14ac:dyDescent="0.2">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row>
    <row r="884" spans="1:25" x14ac:dyDescent="0.2">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row>
    <row r="885" spans="1:25" x14ac:dyDescent="0.2">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row>
    <row r="886" spans="1:25" x14ac:dyDescent="0.2">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row>
    <row r="887" spans="1:25" x14ac:dyDescent="0.2">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row>
    <row r="888" spans="1:25" x14ac:dyDescent="0.2">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row>
    <row r="889" spans="1:25" x14ac:dyDescent="0.2">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row>
    <row r="890" spans="1:25" x14ac:dyDescent="0.2">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row>
    <row r="891" spans="1:25" x14ac:dyDescent="0.2">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row>
    <row r="892" spans="1:25" x14ac:dyDescent="0.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row>
    <row r="893" spans="1:25" x14ac:dyDescent="0.2">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row>
    <row r="894" spans="1:25" x14ac:dyDescent="0.2">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row>
    <row r="895" spans="1:25" x14ac:dyDescent="0.2">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row>
    <row r="896" spans="1:25" x14ac:dyDescent="0.2">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row>
    <row r="897" spans="1:25" x14ac:dyDescent="0.2">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row>
    <row r="898" spans="1:25" x14ac:dyDescent="0.2">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row>
    <row r="899" spans="1:25" x14ac:dyDescent="0.2">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row>
    <row r="900" spans="1:25" x14ac:dyDescent="0.2">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row>
    <row r="901" spans="1:25" x14ac:dyDescent="0.2">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row>
    <row r="902" spans="1:25" x14ac:dyDescent="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row>
    <row r="903" spans="1:25" x14ac:dyDescent="0.2">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row>
    <row r="904" spans="1:25" x14ac:dyDescent="0.2">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row>
    <row r="905" spans="1:25" x14ac:dyDescent="0.2">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row>
    <row r="906" spans="1:25" x14ac:dyDescent="0.2">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row>
    <row r="907" spans="1:25" x14ac:dyDescent="0.2">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row>
    <row r="908" spans="1:25" x14ac:dyDescent="0.2">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row>
    <row r="909" spans="1:25" x14ac:dyDescent="0.2">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row>
    <row r="910" spans="1:25" x14ac:dyDescent="0.2">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row>
    <row r="911" spans="1:25" x14ac:dyDescent="0.2">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row>
    <row r="912" spans="1:25" x14ac:dyDescent="0.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row>
    <row r="913" spans="1:25" x14ac:dyDescent="0.2">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row>
    <row r="914" spans="1:25" x14ac:dyDescent="0.2">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row>
    <row r="915" spans="1:25" x14ac:dyDescent="0.2">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row>
    <row r="916" spans="1:25" x14ac:dyDescent="0.2">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row>
    <row r="917" spans="1:25" x14ac:dyDescent="0.2">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row>
    <row r="918" spans="1:25" x14ac:dyDescent="0.2">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row>
    <row r="919" spans="1:25" x14ac:dyDescent="0.2">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row>
    <row r="920" spans="1:25" x14ac:dyDescent="0.2">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row>
    <row r="921" spans="1:25" x14ac:dyDescent="0.2">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row>
    <row r="922" spans="1:25" x14ac:dyDescent="0.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row>
    <row r="923" spans="1:25" x14ac:dyDescent="0.2">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row>
    <row r="924" spans="1:25" x14ac:dyDescent="0.2">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row>
    <row r="925" spans="1:25" x14ac:dyDescent="0.2">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row>
    <row r="926" spans="1:25" x14ac:dyDescent="0.2">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row>
    <row r="927" spans="1:25" x14ac:dyDescent="0.2">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row>
    <row r="928" spans="1:25" x14ac:dyDescent="0.2">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row>
    <row r="929" spans="1:25" x14ac:dyDescent="0.2">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row>
    <row r="930" spans="1:25" x14ac:dyDescent="0.2">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row>
    <row r="931" spans="1:25" x14ac:dyDescent="0.2">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row>
    <row r="932" spans="1:25" x14ac:dyDescent="0.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row>
    <row r="933" spans="1:25" x14ac:dyDescent="0.2">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row>
    <row r="934" spans="1:25" x14ac:dyDescent="0.2">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row>
    <row r="935" spans="1:25" x14ac:dyDescent="0.2">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row>
    <row r="936" spans="1:25" x14ac:dyDescent="0.2">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row>
    <row r="937" spans="1:25" x14ac:dyDescent="0.2">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row>
    <row r="938" spans="1:25" x14ac:dyDescent="0.2">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row>
    <row r="939" spans="1:25" x14ac:dyDescent="0.2">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row>
    <row r="940" spans="1:25" x14ac:dyDescent="0.2">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row>
    <row r="941" spans="1:25" x14ac:dyDescent="0.2">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row>
    <row r="942" spans="1:25" x14ac:dyDescent="0.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row>
    <row r="943" spans="1:25" x14ac:dyDescent="0.2">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row>
    <row r="944" spans="1:25" x14ac:dyDescent="0.2">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row>
    <row r="945" spans="1:25" x14ac:dyDescent="0.2">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row>
    <row r="946" spans="1:25" x14ac:dyDescent="0.2">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row>
    <row r="947" spans="1:25" x14ac:dyDescent="0.2">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row>
    <row r="948" spans="1:25" x14ac:dyDescent="0.2">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row>
    <row r="949" spans="1:25" x14ac:dyDescent="0.2">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row>
    <row r="950" spans="1:25" x14ac:dyDescent="0.2">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row>
    <row r="951" spans="1:25" x14ac:dyDescent="0.2">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row>
    <row r="952" spans="1:25" x14ac:dyDescent="0.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row>
    <row r="953" spans="1:25" x14ac:dyDescent="0.2">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row>
    <row r="954" spans="1:25" x14ac:dyDescent="0.2">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row>
    <row r="955" spans="1:25" x14ac:dyDescent="0.2">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row>
    <row r="956" spans="1:25" x14ac:dyDescent="0.2">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row>
    <row r="957" spans="1:25" x14ac:dyDescent="0.2">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row>
    <row r="958" spans="1:25" x14ac:dyDescent="0.2">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row>
    <row r="959" spans="1:25" x14ac:dyDescent="0.2">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row>
    <row r="960" spans="1:25" x14ac:dyDescent="0.2">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row>
    <row r="961" spans="1:25" x14ac:dyDescent="0.2">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row>
    <row r="962" spans="1:25" x14ac:dyDescent="0.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row>
    <row r="963" spans="1:25" x14ac:dyDescent="0.2">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row>
    <row r="964" spans="1:25" x14ac:dyDescent="0.2">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row>
    <row r="965" spans="1:25" x14ac:dyDescent="0.2">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row>
    <row r="966" spans="1:25" x14ac:dyDescent="0.2">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row>
    <row r="967" spans="1:25" x14ac:dyDescent="0.2">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row>
    <row r="968" spans="1:25" x14ac:dyDescent="0.2">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row>
    <row r="969" spans="1:25" x14ac:dyDescent="0.2">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row>
    <row r="970" spans="1:25" x14ac:dyDescent="0.2">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row>
    <row r="971" spans="1:25" x14ac:dyDescent="0.2">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row>
    <row r="972" spans="1:25" x14ac:dyDescent="0.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row>
    <row r="973" spans="1:25" x14ac:dyDescent="0.2">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row>
    <row r="974" spans="1:25" x14ac:dyDescent="0.2">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row>
    <row r="975" spans="1:25" x14ac:dyDescent="0.2">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row>
    <row r="976" spans="1:25" x14ac:dyDescent="0.2">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row>
    <row r="977" spans="1:25" x14ac:dyDescent="0.2">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row>
    <row r="978" spans="1:25" x14ac:dyDescent="0.2">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row>
    <row r="979" spans="1:25" x14ac:dyDescent="0.2">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row>
    <row r="980" spans="1:25" x14ac:dyDescent="0.2">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row>
    <row r="981" spans="1:25" x14ac:dyDescent="0.2">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row>
    <row r="982" spans="1:25" x14ac:dyDescent="0.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row>
    <row r="983" spans="1:25" x14ac:dyDescent="0.2">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row>
    <row r="984" spans="1:25" x14ac:dyDescent="0.2">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row>
    <row r="985" spans="1:25" x14ac:dyDescent="0.2">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row>
    <row r="986" spans="1:25" x14ac:dyDescent="0.2">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row>
    <row r="987" spans="1:25" x14ac:dyDescent="0.2">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row>
    <row r="988" spans="1:25" x14ac:dyDescent="0.2">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row>
    <row r="989" spans="1:25" x14ac:dyDescent="0.2">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row>
    <row r="990" spans="1:25" x14ac:dyDescent="0.2">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row>
    <row r="991" spans="1:25" x14ac:dyDescent="0.2">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row>
    <row r="992" spans="1:25" x14ac:dyDescent="0.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row>
    <row r="993" spans="1:25" x14ac:dyDescent="0.2">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row>
    <row r="994" spans="1:25" x14ac:dyDescent="0.2">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row>
    <row r="995" spans="1:25" x14ac:dyDescent="0.2">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row>
    <row r="996" spans="1:25" x14ac:dyDescent="0.2">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row>
    <row r="997" spans="1:25" x14ac:dyDescent="0.2">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row>
  </sheetData>
  <mergeCells count="9">
    <mergeCell ref="A17:D17"/>
    <mergeCell ref="A5:I5"/>
    <mergeCell ref="A6:A7"/>
    <mergeCell ref="B6:B7"/>
    <mergeCell ref="C6:C7"/>
    <mergeCell ref="D6:D7"/>
    <mergeCell ref="E6:E7"/>
    <mergeCell ref="G6:H6"/>
    <mergeCell ref="I6:I7"/>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996"/>
  <sheetViews>
    <sheetView showGridLines="0" workbookViewId="0">
      <pane ySplit="7" topLeftCell="A8" activePane="bottomLeft" state="frozen"/>
      <selection pane="bottomLeft" activeCell="C40" sqref="C40:C41"/>
    </sheetView>
    <sheetView workbookViewId="1"/>
  </sheetViews>
  <sheetFormatPr defaultColWidth="0" defaultRowHeight="15" customHeight="1" x14ac:dyDescent="0.2"/>
  <cols>
    <col min="1" max="1" width="26.42578125" customWidth="1"/>
    <col min="2" max="2" width="66.140625" customWidth="1"/>
    <col min="3" max="3" width="16.28515625" customWidth="1"/>
    <col min="4" max="4" width="10.42578125" customWidth="1"/>
    <col min="5" max="5" width="7.7109375" customWidth="1"/>
    <col min="6" max="6" width="6.7109375" customWidth="1"/>
    <col min="7" max="7" width="12.28515625" customWidth="1"/>
    <col min="8" max="8" width="16.42578125" customWidth="1"/>
    <col min="9" max="10" width="16.28515625" customWidth="1"/>
    <col min="11" max="11" width="9" bestFit="1" customWidth="1"/>
    <col min="12" max="12" width="12.7109375" customWidth="1"/>
    <col min="13" max="13" width="12.85546875" bestFit="1" customWidth="1"/>
    <col min="14" max="14" width="27" customWidth="1"/>
    <col min="15" max="15" width="7.28515625" customWidth="1"/>
    <col min="16" max="16" width="7.7109375" customWidth="1"/>
    <col min="17" max="17" width="14.28515625" customWidth="1"/>
    <col min="18" max="18" width="10" customWidth="1"/>
    <col min="19" max="33" width="10" hidden="1" customWidth="1"/>
    <col min="34" max="16384" width="12.42578125" hidden="1"/>
  </cols>
  <sheetData>
    <row r="1" spans="1:32" ht="15" customHeight="1" x14ac:dyDescent="0.2">
      <c r="A1" s="196" t="str">
        <f>'RESUMEN GENERAL'!A3</f>
        <v xml:space="preserve">Título del proyecto:   </v>
      </c>
      <c r="B1" t="str" cm="1">
        <f t="array" ref="B1:J1">'RESUMEN GENERAL'!B3:J3</f>
        <v xml:space="preserve">Funciones evolutivas del habla dirigida a bebés: Impacto en la atención, las preferencias auditivas y el desarrollo lingüístico y musical temprano </v>
      </c>
      <c r="C1" s="159">
        <v>0</v>
      </c>
      <c r="D1" s="159">
        <v>0</v>
      </c>
      <c r="E1" s="159">
        <v>0</v>
      </c>
      <c r="F1" s="159">
        <v>0</v>
      </c>
      <c r="G1" s="159">
        <v>0</v>
      </c>
      <c r="H1" s="159">
        <v>0</v>
      </c>
      <c r="I1" s="159">
        <v>0</v>
      </c>
      <c r="J1" s="159">
        <v>0</v>
      </c>
    </row>
    <row r="2" spans="1:32" ht="15" customHeight="1" x14ac:dyDescent="0.2">
      <c r="A2" s="196" t="str">
        <f>'RESUMEN GENERAL'!A4</f>
        <v xml:space="preserve">Investigador Principal: </v>
      </c>
      <c r="B2" t="str" cm="1">
        <f t="array" ref="B2:J2">'RESUMEN GENERAL'!B4:J4</f>
        <v>Juan David Leongómez Peña</v>
      </c>
      <c r="C2" s="159">
        <v>0</v>
      </c>
      <c r="D2" s="159">
        <v>0</v>
      </c>
      <c r="E2" s="159">
        <v>0</v>
      </c>
      <c r="F2" s="159">
        <v>0</v>
      </c>
      <c r="G2" s="159">
        <v>0</v>
      </c>
      <c r="H2" s="159">
        <v>0</v>
      </c>
      <c r="I2" s="159">
        <v>0</v>
      </c>
      <c r="J2" s="159">
        <v>0</v>
      </c>
    </row>
    <row r="4" spans="1:32" ht="15" customHeight="1" x14ac:dyDescent="0.2">
      <c r="A4" s="52" t="s">
        <v>98</v>
      </c>
      <c r="B4" s="63"/>
      <c r="C4" s="63"/>
      <c r="D4" s="63"/>
      <c r="E4" s="63"/>
      <c r="F4" s="63"/>
      <c r="G4" s="63"/>
      <c r="H4" s="63"/>
      <c r="I4" s="63"/>
      <c r="J4" s="63"/>
      <c r="K4" s="63"/>
      <c r="L4" s="63"/>
      <c r="M4" s="63"/>
      <c r="N4" s="63"/>
      <c r="O4" s="63"/>
      <c r="P4" s="63"/>
      <c r="Q4" s="63"/>
    </row>
    <row r="5" spans="1:32" ht="27.75" customHeight="1" x14ac:dyDescent="0.2">
      <c r="A5" s="286" t="s">
        <v>147</v>
      </c>
      <c r="B5" s="267"/>
      <c r="C5" s="267"/>
      <c r="D5" s="267"/>
      <c r="E5" s="267"/>
      <c r="F5" s="267"/>
      <c r="G5" s="267"/>
      <c r="H5" s="267"/>
      <c r="I5" s="267"/>
      <c r="J5" s="267"/>
      <c r="K5" s="267"/>
      <c r="L5" s="267"/>
      <c r="M5" s="267"/>
      <c r="N5" s="267"/>
      <c r="O5" s="267"/>
      <c r="P5" s="267"/>
      <c r="Q5" s="267"/>
    </row>
    <row r="6" spans="1:32" ht="34.5" customHeight="1" x14ac:dyDescent="0.2">
      <c r="A6" s="269" t="s">
        <v>99</v>
      </c>
      <c r="B6" s="269" t="s">
        <v>91</v>
      </c>
      <c r="C6" s="269" t="s">
        <v>100</v>
      </c>
      <c r="D6" s="269" t="s">
        <v>101</v>
      </c>
      <c r="E6" s="269" t="s">
        <v>102</v>
      </c>
      <c r="F6" s="269" t="s">
        <v>103</v>
      </c>
      <c r="G6" s="269" t="s">
        <v>104</v>
      </c>
      <c r="H6" s="287" t="s">
        <v>105</v>
      </c>
      <c r="I6" s="269" t="s">
        <v>106</v>
      </c>
      <c r="J6" s="287" t="s">
        <v>107</v>
      </c>
      <c r="K6" s="269" t="s">
        <v>108</v>
      </c>
      <c r="L6" s="287" t="s">
        <v>109</v>
      </c>
      <c r="M6" s="269" t="s">
        <v>110</v>
      </c>
      <c r="N6" s="25" t="s">
        <v>32</v>
      </c>
      <c r="O6" s="283" t="s">
        <v>111</v>
      </c>
      <c r="P6" s="284"/>
      <c r="Q6" s="285" t="s">
        <v>36</v>
      </c>
    </row>
    <row r="7" spans="1:32" ht="48.75" customHeight="1" x14ac:dyDescent="0.2">
      <c r="A7" s="270"/>
      <c r="B7" s="270"/>
      <c r="C7" s="270"/>
      <c r="D7" s="270"/>
      <c r="E7" s="270"/>
      <c r="F7" s="270"/>
      <c r="G7" s="270"/>
      <c r="H7" s="270"/>
      <c r="I7" s="270"/>
      <c r="J7" s="270"/>
      <c r="K7" s="270"/>
      <c r="L7" s="270"/>
      <c r="M7" s="270"/>
      <c r="N7" s="49" t="s">
        <v>94</v>
      </c>
      <c r="O7" s="62" t="s">
        <v>41</v>
      </c>
      <c r="P7" s="61" t="s">
        <v>40</v>
      </c>
      <c r="Q7" s="284"/>
    </row>
    <row r="8" spans="1:32" ht="12.75" customHeight="1" x14ac:dyDescent="0.2">
      <c r="A8" s="26"/>
      <c r="B8" s="27"/>
      <c r="C8" s="21">
        <v>0</v>
      </c>
      <c r="D8" s="21">
        <v>0</v>
      </c>
      <c r="E8" s="21">
        <v>0</v>
      </c>
      <c r="F8" s="21">
        <v>0</v>
      </c>
      <c r="G8" s="21">
        <v>0</v>
      </c>
      <c r="H8" s="205">
        <f t="shared" ref="H8:H15" si="0">+G8*C8*D8</f>
        <v>0</v>
      </c>
      <c r="I8" s="21">
        <v>0</v>
      </c>
      <c r="J8" s="205">
        <f t="shared" ref="J8:J15" si="1">+C8*D8*E8*I8</f>
        <v>0</v>
      </c>
      <c r="K8" s="21">
        <v>0</v>
      </c>
      <c r="L8" s="205">
        <f t="shared" ref="L8:L15" si="2">+C8*D8*F8*K8</f>
        <v>0</v>
      </c>
      <c r="M8" s="205">
        <f>+H8+J8+L8</f>
        <v>0</v>
      </c>
      <c r="N8" s="21">
        <v>0</v>
      </c>
      <c r="O8" s="21">
        <v>0</v>
      </c>
      <c r="P8" s="21">
        <v>0</v>
      </c>
      <c r="Q8" s="64">
        <f t="shared" ref="Q8:Q15" si="3">SUM(N8:P8)</f>
        <v>0</v>
      </c>
      <c r="R8" s="63"/>
      <c r="S8" s="63"/>
      <c r="T8" s="63"/>
      <c r="U8" s="63"/>
      <c r="V8" s="63"/>
      <c r="W8" s="63"/>
      <c r="X8" s="63"/>
      <c r="Y8" s="63"/>
      <c r="Z8" s="63"/>
      <c r="AA8" s="63"/>
      <c r="AB8" s="63"/>
      <c r="AC8" s="63"/>
      <c r="AD8" s="63"/>
      <c r="AE8" s="63"/>
      <c r="AF8" s="63"/>
    </row>
    <row r="9" spans="1:32" ht="12.75" customHeight="1" x14ac:dyDescent="0.2">
      <c r="A9" s="28"/>
      <c r="B9" s="27"/>
      <c r="C9" s="21">
        <v>0</v>
      </c>
      <c r="D9" s="21">
        <v>0</v>
      </c>
      <c r="E9" s="21">
        <v>0</v>
      </c>
      <c r="F9" s="21">
        <v>0</v>
      </c>
      <c r="G9" s="21">
        <v>0</v>
      </c>
      <c r="H9" s="205">
        <f t="shared" si="0"/>
        <v>0</v>
      </c>
      <c r="I9" s="21">
        <v>0</v>
      </c>
      <c r="J9" s="205">
        <f t="shared" si="1"/>
        <v>0</v>
      </c>
      <c r="K9" s="21">
        <v>0</v>
      </c>
      <c r="L9" s="205">
        <f t="shared" si="2"/>
        <v>0</v>
      </c>
      <c r="M9" s="205">
        <f t="shared" ref="M9:M15" si="4">+H9+J9+L9</f>
        <v>0</v>
      </c>
      <c r="N9" s="21">
        <v>0</v>
      </c>
      <c r="O9" s="21">
        <v>0</v>
      </c>
      <c r="P9" s="21">
        <v>0</v>
      </c>
      <c r="Q9" s="2">
        <f t="shared" si="3"/>
        <v>0</v>
      </c>
      <c r="R9" s="63"/>
      <c r="S9" s="63"/>
      <c r="T9" s="63"/>
      <c r="U9" s="63"/>
      <c r="V9" s="63"/>
      <c r="W9" s="63"/>
      <c r="X9" s="63"/>
      <c r="Y9" s="63"/>
      <c r="Z9" s="63"/>
      <c r="AA9" s="63"/>
      <c r="AB9" s="63"/>
      <c r="AC9" s="63"/>
      <c r="AD9" s="63"/>
      <c r="AE9" s="63"/>
      <c r="AF9" s="63"/>
    </row>
    <row r="10" spans="1:32" ht="12.75" customHeight="1" x14ac:dyDescent="0.2">
      <c r="A10" s="28"/>
      <c r="B10" s="27"/>
      <c r="C10" s="21">
        <v>0</v>
      </c>
      <c r="D10" s="21">
        <v>0</v>
      </c>
      <c r="E10" s="21">
        <v>0</v>
      </c>
      <c r="F10" s="21">
        <v>0</v>
      </c>
      <c r="G10" s="21">
        <v>0</v>
      </c>
      <c r="H10" s="205">
        <f t="shared" si="0"/>
        <v>0</v>
      </c>
      <c r="I10" s="21">
        <v>0</v>
      </c>
      <c r="J10" s="205">
        <f t="shared" si="1"/>
        <v>0</v>
      </c>
      <c r="K10" s="21">
        <v>0</v>
      </c>
      <c r="L10" s="205">
        <f t="shared" si="2"/>
        <v>0</v>
      </c>
      <c r="M10" s="205">
        <f t="shared" si="4"/>
        <v>0</v>
      </c>
      <c r="N10" s="21">
        <v>0</v>
      </c>
      <c r="O10" s="21">
        <v>0</v>
      </c>
      <c r="P10" s="21">
        <v>0</v>
      </c>
      <c r="Q10" s="2">
        <f t="shared" si="3"/>
        <v>0</v>
      </c>
      <c r="R10" s="63"/>
      <c r="S10" s="63"/>
      <c r="T10" s="63"/>
      <c r="U10" s="63"/>
      <c r="V10" s="63"/>
      <c r="W10" s="63"/>
      <c r="X10" s="63"/>
      <c r="Y10" s="63"/>
      <c r="Z10" s="63"/>
      <c r="AA10" s="63"/>
      <c r="AB10" s="63"/>
      <c r="AC10" s="63"/>
      <c r="AD10" s="63"/>
      <c r="AE10" s="63"/>
      <c r="AF10" s="63"/>
    </row>
    <row r="11" spans="1:32" ht="12.75" customHeight="1" x14ac:dyDescent="0.2">
      <c r="A11" s="28"/>
      <c r="B11" s="27"/>
      <c r="C11" s="21">
        <v>0</v>
      </c>
      <c r="D11" s="21">
        <v>0</v>
      </c>
      <c r="E11" s="21">
        <v>0</v>
      </c>
      <c r="F11" s="21">
        <v>0</v>
      </c>
      <c r="G11" s="21">
        <v>0</v>
      </c>
      <c r="H11" s="205">
        <f t="shared" si="0"/>
        <v>0</v>
      </c>
      <c r="I11" s="21">
        <v>0</v>
      </c>
      <c r="J11" s="205">
        <f t="shared" si="1"/>
        <v>0</v>
      </c>
      <c r="K11" s="21">
        <v>0</v>
      </c>
      <c r="L11" s="205">
        <f t="shared" si="2"/>
        <v>0</v>
      </c>
      <c r="M11" s="205">
        <f t="shared" si="4"/>
        <v>0</v>
      </c>
      <c r="N11" s="21">
        <v>0</v>
      </c>
      <c r="O11" s="21">
        <v>0</v>
      </c>
      <c r="P11" s="21">
        <v>0</v>
      </c>
      <c r="Q11" s="2">
        <f t="shared" si="3"/>
        <v>0</v>
      </c>
      <c r="R11" s="63"/>
      <c r="S11" s="63"/>
      <c r="T11" s="63"/>
      <c r="U11" s="63"/>
      <c r="V11" s="63"/>
      <c r="W11" s="63"/>
      <c r="X11" s="63"/>
      <c r="Y11" s="63"/>
      <c r="Z11" s="63"/>
      <c r="AA11" s="63"/>
      <c r="AB11" s="63"/>
      <c r="AC11" s="63"/>
      <c r="AD11" s="63"/>
      <c r="AE11" s="63"/>
      <c r="AF11" s="63"/>
    </row>
    <row r="12" spans="1:32" ht="12.75" customHeight="1" x14ac:dyDescent="0.2">
      <c r="A12" s="27"/>
      <c r="B12" s="28"/>
      <c r="C12" s="21">
        <v>0</v>
      </c>
      <c r="D12" s="21">
        <v>0</v>
      </c>
      <c r="E12" s="21">
        <v>0</v>
      </c>
      <c r="F12" s="21">
        <v>0</v>
      </c>
      <c r="G12" s="21">
        <v>0</v>
      </c>
      <c r="H12" s="205">
        <f t="shared" si="0"/>
        <v>0</v>
      </c>
      <c r="I12" s="21">
        <v>0</v>
      </c>
      <c r="J12" s="205">
        <f t="shared" si="1"/>
        <v>0</v>
      </c>
      <c r="K12" s="21">
        <v>0</v>
      </c>
      <c r="L12" s="205">
        <f t="shared" si="2"/>
        <v>0</v>
      </c>
      <c r="M12" s="205">
        <f t="shared" si="4"/>
        <v>0</v>
      </c>
      <c r="N12" s="21">
        <v>0</v>
      </c>
      <c r="O12" s="21">
        <v>0</v>
      </c>
      <c r="P12" s="21">
        <v>0</v>
      </c>
      <c r="Q12" s="2">
        <f t="shared" si="3"/>
        <v>0</v>
      </c>
      <c r="R12" s="63"/>
      <c r="S12" s="63"/>
      <c r="T12" s="63"/>
      <c r="U12" s="63"/>
      <c r="V12" s="63"/>
      <c r="W12" s="63"/>
      <c r="X12" s="63"/>
      <c r="Y12" s="63"/>
      <c r="Z12" s="63"/>
      <c r="AA12" s="63"/>
      <c r="AB12" s="63"/>
      <c r="AC12" s="63"/>
      <c r="AD12" s="63"/>
      <c r="AE12" s="63"/>
      <c r="AF12" s="63"/>
    </row>
    <row r="13" spans="1:32" ht="12.75" customHeight="1" x14ac:dyDescent="0.2">
      <c r="A13" s="28"/>
      <c r="B13" s="28"/>
      <c r="C13" s="21">
        <v>0</v>
      </c>
      <c r="D13" s="21">
        <v>0</v>
      </c>
      <c r="E13" s="21">
        <v>0</v>
      </c>
      <c r="F13" s="21">
        <v>0</v>
      </c>
      <c r="G13" s="21">
        <v>0</v>
      </c>
      <c r="H13" s="205">
        <f t="shared" si="0"/>
        <v>0</v>
      </c>
      <c r="I13" s="21">
        <v>0</v>
      </c>
      <c r="J13" s="205">
        <f t="shared" si="1"/>
        <v>0</v>
      </c>
      <c r="K13" s="21">
        <v>0</v>
      </c>
      <c r="L13" s="205">
        <f t="shared" si="2"/>
        <v>0</v>
      </c>
      <c r="M13" s="205">
        <f t="shared" si="4"/>
        <v>0</v>
      </c>
      <c r="N13" s="21">
        <v>0</v>
      </c>
      <c r="O13" s="21">
        <v>0</v>
      </c>
      <c r="P13" s="21">
        <v>0</v>
      </c>
      <c r="Q13" s="2">
        <f t="shared" si="3"/>
        <v>0</v>
      </c>
      <c r="R13" s="63"/>
      <c r="S13" s="63"/>
      <c r="T13" s="63"/>
      <c r="U13" s="63"/>
      <c r="V13" s="63"/>
      <c r="W13" s="63"/>
      <c r="X13" s="63"/>
      <c r="Y13" s="63"/>
      <c r="Z13" s="63"/>
      <c r="AA13" s="63"/>
      <c r="AB13" s="63"/>
      <c r="AC13" s="63"/>
      <c r="AD13" s="63"/>
      <c r="AE13" s="63"/>
      <c r="AF13" s="63"/>
    </row>
    <row r="14" spans="1:32" ht="12.75" customHeight="1" x14ac:dyDescent="0.2">
      <c r="A14" s="28"/>
      <c r="B14" s="28"/>
      <c r="C14" s="21">
        <v>0</v>
      </c>
      <c r="D14" s="21">
        <v>0</v>
      </c>
      <c r="E14" s="21">
        <v>0</v>
      </c>
      <c r="F14" s="21">
        <v>0</v>
      </c>
      <c r="G14" s="21">
        <v>0</v>
      </c>
      <c r="H14" s="205">
        <f t="shared" si="0"/>
        <v>0</v>
      </c>
      <c r="I14" s="21">
        <v>0</v>
      </c>
      <c r="J14" s="205">
        <f t="shared" si="1"/>
        <v>0</v>
      </c>
      <c r="K14" s="21">
        <v>0</v>
      </c>
      <c r="L14" s="205">
        <f t="shared" si="2"/>
        <v>0</v>
      </c>
      <c r="M14" s="205">
        <f t="shared" si="4"/>
        <v>0</v>
      </c>
      <c r="N14" s="21">
        <v>0</v>
      </c>
      <c r="O14" s="21">
        <v>0</v>
      </c>
      <c r="P14" s="21">
        <v>0</v>
      </c>
      <c r="Q14" s="2">
        <f t="shared" si="3"/>
        <v>0</v>
      </c>
      <c r="R14" s="63"/>
      <c r="S14" s="63"/>
      <c r="T14" s="63"/>
      <c r="U14" s="63"/>
      <c r="V14" s="63"/>
      <c r="W14" s="63"/>
      <c r="X14" s="63"/>
      <c r="Y14" s="63"/>
      <c r="Z14" s="63"/>
      <c r="AA14" s="63"/>
      <c r="AB14" s="63"/>
      <c r="AC14" s="63"/>
      <c r="AD14" s="63"/>
      <c r="AE14" s="63"/>
      <c r="AF14" s="63"/>
    </row>
    <row r="15" spans="1:32" ht="12.75" customHeight="1" x14ac:dyDescent="0.2">
      <c r="A15" s="28"/>
      <c r="B15" s="28"/>
      <c r="C15" s="21">
        <v>0</v>
      </c>
      <c r="D15" s="21">
        <v>0</v>
      </c>
      <c r="E15" s="21">
        <v>0</v>
      </c>
      <c r="F15" s="21">
        <v>0</v>
      </c>
      <c r="G15" s="21">
        <v>0</v>
      </c>
      <c r="H15" s="205">
        <f t="shared" si="0"/>
        <v>0</v>
      </c>
      <c r="I15" s="21">
        <v>0</v>
      </c>
      <c r="J15" s="205">
        <f t="shared" si="1"/>
        <v>0</v>
      </c>
      <c r="K15" s="21">
        <v>0</v>
      </c>
      <c r="L15" s="205">
        <f t="shared" si="2"/>
        <v>0</v>
      </c>
      <c r="M15" s="205">
        <f t="shared" si="4"/>
        <v>0</v>
      </c>
      <c r="N15" s="21">
        <v>0</v>
      </c>
      <c r="O15" s="21">
        <v>0</v>
      </c>
      <c r="P15" s="21">
        <v>0</v>
      </c>
      <c r="Q15" s="160">
        <f t="shared" si="3"/>
        <v>0</v>
      </c>
      <c r="R15" s="63"/>
      <c r="S15" s="63"/>
      <c r="T15" s="63"/>
      <c r="U15" s="63"/>
      <c r="V15" s="63"/>
      <c r="W15" s="63"/>
      <c r="X15" s="63"/>
      <c r="Y15" s="63"/>
      <c r="Z15" s="63"/>
      <c r="AA15" s="63"/>
      <c r="AB15" s="63"/>
      <c r="AC15" s="63"/>
      <c r="AD15" s="63"/>
      <c r="AE15" s="63"/>
      <c r="AF15" s="63"/>
    </row>
    <row r="16" spans="1:32" ht="12.75" customHeight="1" x14ac:dyDescent="0.2">
      <c r="A16" s="280" t="s">
        <v>112</v>
      </c>
      <c r="B16" s="281"/>
      <c r="C16" s="281"/>
      <c r="D16" s="281"/>
      <c r="E16" s="281"/>
      <c r="F16" s="281"/>
      <c r="G16" s="272"/>
      <c r="H16" s="203">
        <f>SUM(H8:H15)</f>
        <v>0</v>
      </c>
      <c r="I16" s="203"/>
      <c r="J16" s="203">
        <f>SUM(J8:J15)</f>
        <v>0</v>
      </c>
      <c r="K16" s="203"/>
      <c r="L16" s="203">
        <f t="shared" ref="L16:Q16" si="5">SUM(L8:L15)</f>
        <v>0</v>
      </c>
      <c r="M16" s="203">
        <f t="shared" si="5"/>
        <v>0</v>
      </c>
      <c r="N16" s="203">
        <f t="shared" si="5"/>
        <v>0</v>
      </c>
      <c r="O16" s="203">
        <f t="shared" si="5"/>
        <v>0</v>
      </c>
      <c r="P16" s="203">
        <f t="shared" si="5"/>
        <v>0</v>
      </c>
      <c r="Q16" s="204">
        <f t="shared" si="5"/>
        <v>0</v>
      </c>
      <c r="R16" s="63"/>
      <c r="S16" s="63"/>
      <c r="T16" s="63"/>
      <c r="U16" s="63"/>
      <c r="V16" s="63"/>
      <c r="W16" s="63"/>
      <c r="X16" s="63"/>
      <c r="Y16" s="63"/>
      <c r="Z16" s="63"/>
      <c r="AA16" s="63"/>
      <c r="AB16" s="63"/>
      <c r="AC16" s="63"/>
      <c r="AD16" s="63"/>
      <c r="AE16" s="63"/>
      <c r="AF16" s="63"/>
    </row>
    <row r="17" spans="1:32" ht="12.75" customHeight="1" x14ac:dyDescent="0.2">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row>
    <row r="18" spans="1:32" ht="12.75" customHeight="1" x14ac:dyDescent="0.2">
      <c r="A18" s="282" t="s">
        <v>113</v>
      </c>
      <c r="B18" s="281"/>
      <c r="C18" s="281"/>
      <c r="D18" s="272"/>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row>
    <row r="19" spans="1:32" ht="12.75" customHeight="1" x14ac:dyDescent="0.2">
      <c r="A19" s="30" t="s">
        <v>114</v>
      </c>
      <c r="B19" s="30" t="s">
        <v>115</v>
      </c>
      <c r="C19" s="30" t="s">
        <v>116</v>
      </c>
      <c r="D19" s="30" t="s">
        <v>117</v>
      </c>
      <c r="E19" s="72"/>
      <c r="F19" s="72"/>
      <c r="G19" s="72"/>
      <c r="H19" s="72"/>
      <c r="I19" s="72"/>
      <c r="J19" s="72"/>
      <c r="K19" s="72"/>
      <c r="L19" s="72"/>
      <c r="M19" s="72"/>
      <c r="N19" s="73"/>
      <c r="O19" s="72"/>
      <c r="P19" s="72"/>
      <c r="Q19" s="72"/>
      <c r="R19" s="72"/>
      <c r="S19" s="72"/>
      <c r="T19" s="72"/>
      <c r="U19" s="72"/>
      <c r="V19" s="72"/>
      <c r="W19" s="72"/>
      <c r="X19" s="72"/>
      <c r="Y19" s="72"/>
      <c r="Z19" s="72"/>
      <c r="AA19" s="72"/>
      <c r="AB19" s="72"/>
      <c r="AC19" s="72"/>
      <c r="AD19" s="72"/>
      <c r="AE19" s="72"/>
      <c r="AF19" s="72"/>
    </row>
    <row r="20" spans="1:32" ht="12.75" customHeight="1" x14ac:dyDescent="0.2">
      <c r="A20" s="28" t="s">
        <v>118</v>
      </c>
      <c r="B20" s="31">
        <v>600000</v>
      </c>
      <c r="C20" s="31">
        <v>80000</v>
      </c>
      <c r="D20" s="31">
        <v>150000</v>
      </c>
      <c r="E20" s="63"/>
      <c r="F20" s="63"/>
      <c r="G20" s="63"/>
      <c r="H20" s="63"/>
      <c r="I20" s="63"/>
      <c r="J20" s="63"/>
      <c r="K20" s="63"/>
      <c r="L20" s="63"/>
      <c r="M20" s="63"/>
      <c r="N20" s="71"/>
      <c r="O20" s="63"/>
      <c r="P20" s="63"/>
      <c r="Q20" s="63"/>
      <c r="R20" s="63"/>
      <c r="S20" s="63"/>
      <c r="T20" s="63"/>
      <c r="U20" s="63"/>
      <c r="V20" s="63"/>
      <c r="W20" s="63"/>
      <c r="X20" s="63"/>
      <c r="Y20" s="63"/>
      <c r="Z20" s="63"/>
      <c r="AA20" s="63"/>
      <c r="AB20" s="63"/>
      <c r="AC20" s="63"/>
      <c r="AD20" s="63"/>
      <c r="AE20" s="63"/>
      <c r="AF20" s="63"/>
    </row>
    <row r="21" spans="1:32" ht="12.75" customHeight="1" x14ac:dyDescent="0.2">
      <c r="A21" s="28" t="s">
        <v>119</v>
      </c>
      <c r="B21" s="31">
        <v>800000</v>
      </c>
      <c r="C21" s="31">
        <v>90000</v>
      </c>
      <c r="D21" s="31">
        <v>180000</v>
      </c>
      <c r="E21" s="63"/>
      <c r="F21" s="63"/>
      <c r="G21" s="63"/>
      <c r="H21" s="63"/>
      <c r="I21" s="63"/>
      <c r="J21" s="63"/>
      <c r="K21" s="63"/>
      <c r="L21" s="63"/>
      <c r="M21" s="63"/>
      <c r="N21" s="71"/>
      <c r="O21" s="63"/>
      <c r="P21" s="63"/>
      <c r="Q21" s="63"/>
      <c r="R21" s="63"/>
      <c r="S21" s="63"/>
      <c r="T21" s="63"/>
      <c r="U21" s="63"/>
      <c r="V21" s="63"/>
      <c r="W21" s="63"/>
      <c r="X21" s="63"/>
      <c r="Y21" s="63"/>
      <c r="Z21" s="63"/>
      <c r="AA21" s="63"/>
      <c r="AB21" s="63"/>
      <c r="AC21" s="63"/>
      <c r="AD21" s="63"/>
      <c r="AE21" s="63"/>
      <c r="AF21" s="63"/>
    </row>
    <row r="22" spans="1:32" ht="12.75" customHeight="1" x14ac:dyDescent="0.2">
      <c r="A22" s="28" t="s">
        <v>120</v>
      </c>
      <c r="B22" s="31">
        <v>4000000</v>
      </c>
      <c r="C22" s="31">
        <v>180000</v>
      </c>
      <c r="D22" s="31">
        <v>400000</v>
      </c>
      <c r="E22" s="63"/>
      <c r="F22" s="63"/>
      <c r="G22" s="63"/>
      <c r="H22" s="63"/>
      <c r="I22" s="63"/>
      <c r="J22" s="63"/>
      <c r="K22" s="63"/>
      <c r="L22" s="63"/>
      <c r="M22" s="63"/>
      <c r="N22" s="71"/>
      <c r="O22" s="63"/>
      <c r="P22" s="63"/>
      <c r="Q22" s="63"/>
      <c r="R22" s="63"/>
      <c r="S22" s="63"/>
      <c r="T22" s="63"/>
      <c r="U22" s="63"/>
      <c r="V22" s="63"/>
      <c r="W22" s="63"/>
      <c r="X22" s="63"/>
      <c r="Y22" s="63"/>
      <c r="Z22" s="63"/>
      <c r="AA22" s="63"/>
      <c r="AB22" s="63"/>
      <c r="AC22" s="63"/>
      <c r="AD22" s="63"/>
      <c r="AE22" s="63"/>
      <c r="AF22" s="63"/>
    </row>
    <row r="23" spans="1:32" ht="12.75" customHeight="1" x14ac:dyDescent="0.2">
      <c r="A23" s="32" t="s">
        <v>121</v>
      </c>
      <c r="B23" s="31">
        <v>6000000</v>
      </c>
      <c r="C23" s="31">
        <v>220000</v>
      </c>
      <c r="D23" s="31">
        <v>450000</v>
      </c>
      <c r="E23" s="71"/>
      <c r="F23" s="71"/>
      <c r="G23" s="71"/>
      <c r="H23" s="71"/>
      <c r="I23" s="71"/>
      <c r="J23" s="71"/>
      <c r="K23" s="71"/>
      <c r="L23" s="71"/>
      <c r="M23" s="71"/>
      <c r="N23" s="71"/>
      <c r="O23" s="63"/>
      <c r="P23" s="63"/>
      <c r="Q23" s="63"/>
      <c r="R23" s="63"/>
      <c r="S23" s="63"/>
      <c r="T23" s="63"/>
      <c r="U23" s="63"/>
      <c r="V23" s="63"/>
      <c r="W23" s="63"/>
      <c r="X23" s="63"/>
      <c r="Y23" s="63"/>
      <c r="Z23" s="63"/>
      <c r="AA23" s="63"/>
      <c r="AB23" s="63"/>
      <c r="AC23" s="63"/>
      <c r="AD23" s="63"/>
      <c r="AE23" s="63"/>
      <c r="AF23" s="63"/>
    </row>
    <row r="24" spans="1:32" ht="12.75" customHeight="1" x14ac:dyDescent="0.2">
      <c r="A24" s="32" t="s">
        <v>122</v>
      </c>
      <c r="B24" s="31">
        <v>3000000</v>
      </c>
      <c r="C24" s="31">
        <v>160000</v>
      </c>
      <c r="D24" s="31">
        <v>300000</v>
      </c>
      <c r="E24" s="71"/>
      <c r="F24" s="71"/>
      <c r="G24" s="71"/>
      <c r="H24" s="71"/>
      <c r="I24" s="71"/>
      <c r="J24" s="71"/>
      <c r="K24" s="71"/>
      <c r="L24" s="71"/>
      <c r="M24" s="71"/>
      <c r="N24" s="71"/>
      <c r="O24" s="63"/>
      <c r="P24" s="63"/>
      <c r="Q24" s="63"/>
      <c r="R24" s="63"/>
      <c r="S24" s="63"/>
      <c r="T24" s="63"/>
      <c r="U24" s="63"/>
      <c r="V24" s="63"/>
      <c r="W24" s="63"/>
      <c r="X24" s="63"/>
      <c r="Y24" s="63"/>
      <c r="Z24" s="63"/>
      <c r="AA24" s="63"/>
      <c r="AB24" s="63"/>
      <c r="AC24" s="63"/>
      <c r="AD24" s="63"/>
      <c r="AE24" s="63"/>
      <c r="AF24" s="63"/>
    </row>
    <row r="25" spans="1:32" ht="12.75" customHeight="1" x14ac:dyDescent="0.2">
      <c r="A25" s="71"/>
      <c r="B25" s="71"/>
      <c r="C25" s="71"/>
      <c r="D25" s="71"/>
      <c r="E25" s="71"/>
      <c r="F25" s="71"/>
      <c r="G25" s="71"/>
      <c r="H25" s="71"/>
      <c r="I25" s="71"/>
      <c r="J25" s="71"/>
      <c r="K25" s="71"/>
      <c r="L25" s="71"/>
      <c r="M25" s="71"/>
      <c r="N25" s="71"/>
      <c r="O25" s="63"/>
      <c r="P25" s="63"/>
      <c r="Q25" s="63"/>
      <c r="R25" s="63"/>
      <c r="S25" s="63"/>
      <c r="T25" s="63"/>
      <c r="U25" s="63"/>
      <c r="V25" s="63"/>
      <c r="W25" s="63"/>
      <c r="X25" s="63"/>
      <c r="Y25" s="63"/>
      <c r="Z25" s="63"/>
      <c r="AA25" s="63"/>
      <c r="AB25" s="63"/>
      <c r="AC25" s="63"/>
      <c r="AD25" s="63"/>
      <c r="AE25" s="63"/>
      <c r="AF25" s="63"/>
    </row>
    <row r="26" spans="1:32" ht="12.75" customHeight="1" x14ac:dyDescent="0.2">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row>
    <row r="27" spans="1:32" ht="12.75" customHeight="1" x14ac:dyDescent="0.2">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row>
    <row r="28" spans="1:32" ht="12.75" customHeight="1" x14ac:dyDescent="0.2">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row>
    <row r="29" spans="1:32" ht="12.75" customHeight="1" x14ac:dyDescent="0.2">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row>
    <row r="30" spans="1:32" ht="12.75" customHeight="1" x14ac:dyDescent="0.2">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row>
    <row r="31" spans="1:32" ht="12.75" customHeight="1" x14ac:dyDescent="0.2">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row>
    <row r="32" spans="1:32" ht="12.75" customHeight="1" x14ac:dyDescent="0.2">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row>
    <row r="33" spans="1:32" ht="12.75" customHeight="1" x14ac:dyDescent="0.2">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row>
    <row r="34" spans="1:32" ht="12.75" customHeight="1" x14ac:dyDescent="0.2">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row>
    <row r="35" spans="1:32" ht="12.75" customHeight="1" x14ac:dyDescent="0.2">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row>
    <row r="36" spans="1:32" ht="12.75" customHeight="1" x14ac:dyDescent="0.2">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row>
    <row r="37" spans="1:32" ht="12.75" customHeight="1" x14ac:dyDescent="0.2">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row>
    <row r="38" spans="1:32" ht="12.75" customHeight="1" x14ac:dyDescent="0.2">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row>
    <row r="39" spans="1:32" ht="12.75" customHeight="1" x14ac:dyDescent="0.2">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row>
    <row r="40" spans="1:32" ht="12.75" customHeight="1" x14ac:dyDescent="0.2">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row>
    <row r="41" spans="1:32" ht="12.75" customHeight="1" x14ac:dyDescent="0.2">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row>
    <row r="42" spans="1:32" ht="12.75" customHeight="1" x14ac:dyDescent="0.2">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row>
    <row r="43" spans="1:32" ht="12.75" customHeight="1" x14ac:dyDescent="0.2">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row>
    <row r="44" spans="1:32" ht="12.75" customHeight="1" x14ac:dyDescent="0.2">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row>
    <row r="45" spans="1:32" ht="12.75" customHeight="1" x14ac:dyDescent="0.2">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row>
    <row r="46" spans="1:32" ht="12.75" customHeight="1" x14ac:dyDescent="0.2">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row>
    <row r="47" spans="1:32" ht="12.75" customHeight="1" x14ac:dyDescent="0.2">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row>
    <row r="48" spans="1:32" ht="12.75" customHeight="1" x14ac:dyDescent="0.2">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row>
    <row r="49" spans="1:32" ht="12.75" customHeight="1" x14ac:dyDescent="0.2">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row>
    <row r="50" spans="1:32" ht="12.75" customHeight="1" x14ac:dyDescent="0.2">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row>
    <row r="51" spans="1:32" ht="12.75" customHeight="1" x14ac:dyDescent="0.2">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row>
    <row r="52" spans="1:32" ht="12.75" customHeight="1" x14ac:dyDescent="0.2">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row>
    <row r="53" spans="1:32" ht="12.75" customHeight="1" x14ac:dyDescent="0.2">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row>
    <row r="54" spans="1:32" ht="12.75" customHeight="1" x14ac:dyDescent="0.2">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row>
    <row r="55" spans="1:32" ht="12.75" customHeight="1" x14ac:dyDescent="0.2">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row>
    <row r="56" spans="1:32" ht="12.75" customHeight="1" x14ac:dyDescent="0.2">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row>
    <row r="57" spans="1:32" ht="12.75" customHeight="1" x14ac:dyDescent="0.2">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row>
    <row r="58" spans="1:32" ht="12.75" customHeight="1" x14ac:dyDescent="0.2">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row>
    <row r="59" spans="1:32" ht="12.75" customHeight="1" x14ac:dyDescent="0.2">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row>
    <row r="60" spans="1:32" ht="12.75" customHeight="1" x14ac:dyDescent="0.2">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row>
    <row r="61" spans="1:32" ht="12.75" customHeight="1" x14ac:dyDescent="0.2">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row>
    <row r="62" spans="1:32" ht="12.75" customHeight="1" x14ac:dyDescent="0.2">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row>
    <row r="63" spans="1:32" ht="12.75" customHeight="1" x14ac:dyDescent="0.2">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row>
    <row r="64" spans="1:32" ht="12.75" customHeight="1" x14ac:dyDescent="0.2">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row>
    <row r="65" spans="1:32" ht="12.75" customHeight="1" x14ac:dyDescent="0.2">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row>
    <row r="66" spans="1:32" ht="12.75" customHeight="1" x14ac:dyDescent="0.2">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row>
    <row r="67" spans="1:32" ht="12.75" customHeight="1" x14ac:dyDescent="0.2">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row>
    <row r="68" spans="1:32" ht="12.75" customHeight="1" x14ac:dyDescent="0.2">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row>
    <row r="69" spans="1:32" ht="12.75" customHeight="1" x14ac:dyDescent="0.2">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row>
    <row r="70" spans="1:32" ht="12.75" customHeight="1" x14ac:dyDescent="0.2">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row>
    <row r="71" spans="1:32" ht="12.75" customHeight="1" x14ac:dyDescent="0.2">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row>
    <row r="72" spans="1:32" ht="12.75" customHeight="1" x14ac:dyDescent="0.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row>
    <row r="73" spans="1:32" ht="12.75" customHeight="1" x14ac:dyDescent="0.2">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row>
    <row r="74" spans="1:32" ht="12.75" customHeight="1" x14ac:dyDescent="0.2">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row>
    <row r="75" spans="1:32" ht="12.75" customHeight="1" x14ac:dyDescent="0.2">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row>
    <row r="76" spans="1:32" ht="12.75" customHeight="1" x14ac:dyDescent="0.2">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row>
    <row r="77" spans="1:32" ht="12.75" customHeight="1" x14ac:dyDescent="0.2">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row>
    <row r="78" spans="1:32" ht="12.75" customHeight="1" x14ac:dyDescent="0.2">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row>
    <row r="79" spans="1:32" ht="12.75" customHeight="1" x14ac:dyDescent="0.2">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row>
    <row r="80" spans="1:32" ht="12.75" customHeight="1" x14ac:dyDescent="0.2">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row>
    <row r="81" spans="1:32" ht="12.75" customHeight="1" x14ac:dyDescent="0.2">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row>
    <row r="82" spans="1:32" ht="12.75" customHeight="1" x14ac:dyDescent="0.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row>
    <row r="83" spans="1:32" ht="12.75" customHeight="1" x14ac:dyDescent="0.2">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row>
    <row r="84" spans="1:32" ht="12.75" customHeight="1" x14ac:dyDescent="0.2">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row>
    <row r="85" spans="1:32" ht="12.75" customHeight="1" x14ac:dyDescent="0.2">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row>
    <row r="86" spans="1:32" ht="12.75" customHeight="1" x14ac:dyDescent="0.2">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row>
    <row r="87" spans="1:32" ht="12.75" customHeight="1" x14ac:dyDescent="0.2">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row>
    <row r="88" spans="1:32" ht="12.75" customHeight="1" x14ac:dyDescent="0.2">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row>
    <row r="89" spans="1:32" ht="12.75" customHeight="1" x14ac:dyDescent="0.2">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row>
    <row r="90" spans="1:32" ht="12.75" customHeight="1" x14ac:dyDescent="0.2">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row>
    <row r="91" spans="1:32" ht="12.75" customHeight="1" x14ac:dyDescent="0.2">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row>
    <row r="92" spans="1:32" ht="12.75" customHeight="1" x14ac:dyDescent="0.2">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row>
    <row r="93" spans="1:32" ht="12.75" customHeight="1" x14ac:dyDescent="0.2">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row>
    <row r="94" spans="1:32" ht="12.75" customHeight="1" x14ac:dyDescent="0.2">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row>
    <row r="95" spans="1:32" ht="12.75" customHeight="1" x14ac:dyDescent="0.2">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row>
    <row r="96" spans="1:32" ht="12.75" customHeight="1" x14ac:dyDescent="0.2">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row>
    <row r="97" spans="1:32" ht="12.75" customHeight="1" x14ac:dyDescent="0.2">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row>
    <row r="98" spans="1:32" ht="12.75" customHeight="1" x14ac:dyDescent="0.2">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row>
    <row r="99" spans="1:32" ht="12.75" customHeight="1" x14ac:dyDescent="0.2">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row>
    <row r="100" spans="1:32" ht="12.75" customHeight="1" x14ac:dyDescent="0.2">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row>
    <row r="101" spans="1:32" ht="12.75" customHeight="1" x14ac:dyDescent="0.2">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row>
    <row r="102" spans="1:32" ht="12.75" customHeight="1" x14ac:dyDescent="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row>
    <row r="103" spans="1:32" ht="12.75" customHeight="1" x14ac:dyDescent="0.2">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row>
    <row r="104" spans="1:32" ht="12.75" customHeight="1" x14ac:dyDescent="0.2">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row>
    <row r="105" spans="1:32" ht="12.75" customHeight="1" x14ac:dyDescent="0.2">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row>
    <row r="106" spans="1:32" ht="12.75" customHeight="1" x14ac:dyDescent="0.2">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row>
    <row r="107" spans="1:32" ht="12.75" customHeight="1" x14ac:dyDescent="0.2">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row>
    <row r="108" spans="1:32" ht="12.75" customHeight="1" x14ac:dyDescent="0.2">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row>
    <row r="109" spans="1:32" ht="12.75" customHeight="1" x14ac:dyDescent="0.2">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row>
    <row r="110" spans="1:32" ht="12.75" customHeight="1" x14ac:dyDescent="0.2">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row>
    <row r="111" spans="1:32" ht="12.75" customHeight="1" x14ac:dyDescent="0.2">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row>
    <row r="112" spans="1:32" ht="12.75" customHeight="1" x14ac:dyDescent="0.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row>
    <row r="113" spans="1:32" ht="12.75" customHeight="1" x14ac:dyDescent="0.2">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row>
    <row r="114" spans="1:32" ht="12.75" customHeight="1" x14ac:dyDescent="0.2">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row>
    <row r="115" spans="1:32" ht="12.75" customHeight="1" x14ac:dyDescent="0.2">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row>
    <row r="116" spans="1:32" ht="12.75" customHeight="1" x14ac:dyDescent="0.2">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row>
    <row r="117" spans="1:32" ht="12.75" customHeight="1" x14ac:dyDescent="0.2">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row>
    <row r="118" spans="1:32" ht="12.75" customHeight="1" x14ac:dyDescent="0.2">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row>
    <row r="119" spans="1:32" ht="12.75" customHeight="1" x14ac:dyDescent="0.2">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row>
    <row r="120" spans="1:32" ht="12.75" customHeight="1" x14ac:dyDescent="0.2">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row>
    <row r="121" spans="1:32" ht="12.75" customHeight="1" x14ac:dyDescent="0.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spans="1:32" ht="12.75" customHeight="1" x14ac:dyDescent="0.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spans="1:32" ht="12.75" customHeight="1" x14ac:dyDescent="0.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spans="1:32" ht="12.75" customHeight="1" x14ac:dyDescent="0.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spans="1:32" ht="12.75" customHeight="1" x14ac:dyDescent="0.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spans="1:32" ht="12.75" customHeight="1" x14ac:dyDescent="0.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spans="1:32" ht="12.75" customHeight="1" x14ac:dyDescent="0.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spans="1:32" ht="12.75" customHeight="1" x14ac:dyDescent="0.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spans="1:32" ht="12.75" customHeight="1" x14ac:dyDescent="0.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spans="1:32" ht="12.75" customHeight="1" x14ac:dyDescent="0.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spans="1:32" ht="12.75" customHeight="1" x14ac:dyDescent="0.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spans="1:32" ht="12.75" customHeight="1" x14ac:dyDescent="0.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spans="1:32" ht="12.75" customHeight="1" x14ac:dyDescent="0.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spans="1:32" ht="12.75" customHeight="1" x14ac:dyDescent="0.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spans="1:32" ht="12.75" customHeight="1" x14ac:dyDescent="0.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spans="1:32" ht="12.75" customHeight="1" x14ac:dyDescent="0.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spans="1:32" ht="12.75" customHeight="1" x14ac:dyDescent="0.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spans="1:32" ht="12.75" customHeight="1" x14ac:dyDescent="0.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spans="1:32" ht="12.75" customHeight="1" x14ac:dyDescent="0.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spans="1:32" ht="12.75" customHeight="1" x14ac:dyDescent="0.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spans="1:32" ht="12.75" customHeight="1" x14ac:dyDescent="0.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spans="1:32" ht="12.75" customHeight="1" x14ac:dyDescent="0.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spans="1:32" ht="12.75" customHeight="1" x14ac:dyDescent="0.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spans="1:32" ht="12.75" customHeight="1" x14ac:dyDescent="0.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spans="1:32" ht="12.75" customHeight="1" x14ac:dyDescent="0.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spans="1:32" ht="12.75" customHeight="1" x14ac:dyDescent="0.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spans="1:32" ht="12.75" customHeight="1" x14ac:dyDescent="0.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spans="1:32" ht="12.75" customHeight="1" x14ac:dyDescent="0.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spans="1:32" ht="12.75" customHeight="1" x14ac:dyDescent="0.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spans="1:32" ht="12.75" customHeight="1" x14ac:dyDescent="0.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spans="1:32" ht="12.75" customHeight="1" x14ac:dyDescent="0.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spans="1:32" ht="12.75" customHeight="1" x14ac:dyDescent="0.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spans="1:32" ht="12.75" customHeight="1" x14ac:dyDescent="0.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spans="1:32" ht="12.75" customHeight="1" x14ac:dyDescent="0.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spans="1:32" ht="12.75" customHeight="1" x14ac:dyDescent="0.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spans="1:32" ht="12.75" customHeight="1" x14ac:dyDescent="0.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spans="1:32" ht="12.75" customHeight="1" x14ac:dyDescent="0.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spans="1:32" ht="12.75" customHeight="1" x14ac:dyDescent="0.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spans="1:32" ht="12.75" customHeight="1" x14ac:dyDescent="0.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spans="1:32" ht="12.75" customHeight="1" x14ac:dyDescent="0.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spans="1:32" ht="12.75" customHeight="1" x14ac:dyDescent="0.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spans="1:32" ht="12.75" customHeight="1" x14ac:dyDescent="0.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spans="1:32" ht="12.75" customHeight="1" x14ac:dyDescent="0.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spans="1:32" ht="12.75" customHeight="1" x14ac:dyDescent="0.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spans="1:32" ht="12.75" customHeight="1" x14ac:dyDescent="0.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spans="1:32" ht="12.75" customHeight="1" x14ac:dyDescent="0.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spans="1:32" ht="12.75" customHeight="1" x14ac:dyDescent="0.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spans="1:32" ht="12.75" customHeight="1" x14ac:dyDescent="0.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spans="1:32" ht="12.75" customHeight="1" x14ac:dyDescent="0.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spans="1:32" ht="12.75" customHeight="1" x14ac:dyDescent="0.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spans="1:32" ht="12.75" customHeight="1" x14ac:dyDescent="0.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spans="1:32" ht="12.75" customHeight="1" x14ac:dyDescent="0.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spans="1:32" ht="12.75" customHeight="1" x14ac:dyDescent="0.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spans="1:32" ht="12.75" customHeight="1" x14ac:dyDescent="0.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spans="1:32" ht="12.75" customHeight="1" x14ac:dyDescent="0.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spans="1:32" ht="12.75" customHeight="1" x14ac:dyDescent="0.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spans="1:32" ht="12.75" customHeight="1" x14ac:dyDescent="0.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spans="1:32" ht="12.75" customHeight="1" x14ac:dyDescent="0.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spans="1:32" ht="12.75" customHeight="1" x14ac:dyDescent="0.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spans="1:32" ht="12.75" customHeight="1" x14ac:dyDescent="0.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spans="1:32" ht="12.75" customHeight="1" x14ac:dyDescent="0.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spans="1:32" ht="12.75" customHeight="1" x14ac:dyDescent="0.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spans="1:32" ht="12.75" customHeight="1" x14ac:dyDescent="0.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spans="1:32" ht="12.75" customHeight="1" x14ac:dyDescent="0.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spans="1:32" ht="12.75" customHeight="1" x14ac:dyDescent="0.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spans="1:32" ht="12.75" customHeight="1" x14ac:dyDescent="0.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spans="1:32" ht="12.75" customHeight="1" x14ac:dyDescent="0.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spans="1:32" ht="12.75" customHeight="1" x14ac:dyDescent="0.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spans="1:32" ht="12.75" customHeight="1" x14ac:dyDescent="0.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spans="1:32" ht="12.75" customHeight="1" x14ac:dyDescent="0.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spans="1:32" ht="12.75" customHeight="1" x14ac:dyDescent="0.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spans="1:32" ht="12.75" customHeight="1" x14ac:dyDescent="0.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spans="1:32" ht="12.75" customHeight="1" x14ac:dyDescent="0.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spans="1:32" ht="12.75" customHeight="1" x14ac:dyDescent="0.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spans="1:32" ht="12.75" customHeight="1" x14ac:dyDescent="0.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spans="1:32" ht="12.75" customHeight="1" x14ac:dyDescent="0.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spans="1:32" ht="12.75" customHeight="1" x14ac:dyDescent="0.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spans="1:32" ht="12.75" customHeight="1" x14ac:dyDescent="0.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spans="1:32" ht="12.75" customHeight="1" x14ac:dyDescent="0.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spans="1:32" ht="12.75" customHeight="1" x14ac:dyDescent="0.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spans="1:32" ht="12.75" customHeight="1" x14ac:dyDescent="0.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spans="1:32" ht="12.75" customHeight="1" x14ac:dyDescent="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spans="1:32" ht="12.75" customHeight="1" x14ac:dyDescent="0.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spans="1:32" ht="12.75" customHeight="1" x14ac:dyDescent="0.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spans="1:32" ht="12.75" customHeight="1" x14ac:dyDescent="0.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spans="1:32" ht="12.75" customHeight="1" x14ac:dyDescent="0.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spans="1:32" ht="12.75" customHeight="1" x14ac:dyDescent="0.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spans="1:32" ht="12.75" customHeight="1" x14ac:dyDescent="0.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spans="1:32" ht="12.75" customHeight="1" x14ac:dyDescent="0.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spans="1:32" ht="12.75" customHeight="1" x14ac:dyDescent="0.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spans="1:32" ht="12.75" customHeight="1" x14ac:dyDescent="0.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spans="1:32" ht="12.75" customHeight="1" x14ac:dyDescent="0.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spans="1:32" ht="12.75" customHeight="1" x14ac:dyDescent="0.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spans="1:32" ht="12.75" customHeight="1" x14ac:dyDescent="0.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spans="1:32" ht="12.75" customHeight="1" x14ac:dyDescent="0.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spans="1:32" ht="12.75" customHeight="1" x14ac:dyDescent="0.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spans="1:32" ht="12.75" customHeight="1" x14ac:dyDescent="0.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spans="1:32" ht="12.75" customHeight="1" x14ac:dyDescent="0.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spans="1:32" ht="12.75" customHeight="1" x14ac:dyDescent="0.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spans="1:32" ht="12.75" customHeight="1" x14ac:dyDescent="0.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spans="1:32" ht="12.75" customHeight="1" x14ac:dyDescent="0.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spans="1:32" ht="12.75" customHeight="1" x14ac:dyDescent="0.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spans="1:32" ht="12.75" customHeight="1" x14ac:dyDescent="0.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spans="1:32" ht="12.75" customHeight="1" x14ac:dyDescent="0.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spans="1:32" ht="12.75" customHeight="1" x14ac:dyDescent="0.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spans="1:32" ht="12.75" customHeight="1" x14ac:dyDescent="0.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spans="1:32" ht="12.75" customHeight="1" x14ac:dyDescent="0.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spans="1:32" ht="12.75" customHeight="1" x14ac:dyDescent="0.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spans="1:32" ht="12.75" customHeight="1" x14ac:dyDescent="0.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spans="1:32" ht="12.75" customHeight="1" x14ac:dyDescent="0.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spans="1:32" ht="12.75" customHeight="1" x14ac:dyDescent="0.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spans="1:32" ht="12.75" customHeight="1" x14ac:dyDescent="0.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spans="1:32" ht="12.75" customHeight="1" x14ac:dyDescent="0.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spans="1:32" ht="12.75" customHeight="1" x14ac:dyDescent="0.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spans="1:32" ht="12.75" customHeight="1" x14ac:dyDescent="0.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spans="1:32" ht="12.75" customHeight="1" x14ac:dyDescent="0.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spans="1:32" ht="12.75" customHeight="1" x14ac:dyDescent="0.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spans="1:32" ht="12.75" customHeight="1" x14ac:dyDescent="0.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spans="1:32" ht="12.75" customHeight="1" x14ac:dyDescent="0.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spans="1:32" ht="12.75" customHeight="1" x14ac:dyDescent="0.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spans="1:32" ht="12.75" customHeight="1" x14ac:dyDescent="0.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spans="1:32" ht="12.75" customHeight="1" x14ac:dyDescent="0.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spans="1:32" ht="12.75" customHeight="1" x14ac:dyDescent="0.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spans="1:32" ht="12.75" customHeight="1" x14ac:dyDescent="0.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spans="1:32" ht="12.75" customHeight="1" x14ac:dyDescent="0.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spans="1:32" ht="12.75" customHeight="1" x14ac:dyDescent="0.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spans="1:32" ht="12.75" customHeight="1" x14ac:dyDescent="0.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spans="1:32" ht="12.75" customHeight="1" x14ac:dyDescent="0.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spans="1:32" ht="12.75" customHeight="1" x14ac:dyDescent="0.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spans="1:32" ht="12.75" customHeight="1" x14ac:dyDescent="0.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spans="1:32" ht="12.75" customHeight="1" x14ac:dyDescent="0.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spans="1:32" ht="12.75" customHeight="1" x14ac:dyDescent="0.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spans="1:32" ht="12.75" customHeight="1" x14ac:dyDescent="0.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spans="1:32" ht="12.75" customHeight="1" x14ac:dyDescent="0.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spans="1:32" ht="12.75" customHeight="1" x14ac:dyDescent="0.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spans="1:32" ht="12.75" customHeight="1" x14ac:dyDescent="0.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spans="1:32" ht="12.75" customHeight="1" x14ac:dyDescent="0.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spans="1:32" ht="12.75" customHeight="1" x14ac:dyDescent="0.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spans="1:32" ht="12.75" customHeight="1" x14ac:dyDescent="0.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spans="1:32" ht="12.75" customHeight="1" x14ac:dyDescent="0.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spans="1:32" ht="12.75" customHeight="1" x14ac:dyDescent="0.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spans="1:32" ht="12.75" customHeight="1" x14ac:dyDescent="0.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spans="1:32" ht="12.75" customHeight="1" x14ac:dyDescent="0.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spans="1:32" ht="12.75" customHeight="1" x14ac:dyDescent="0.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spans="1:32" ht="12.75" customHeight="1" x14ac:dyDescent="0.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spans="1:32" ht="12.75" customHeight="1" x14ac:dyDescent="0.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spans="1:32" ht="12.75" customHeight="1" x14ac:dyDescent="0.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spans="1:32" ht="12.75" customHeight="1" x14ac:dyDescent="0.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spans="1:32" ht="12.75" customHeight="1" x14ac:dyDescent="0.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spans="1:32" ht="12.75" customHeight="1" x14ac:dyDescent="0.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spans="1:32" ht="12.75" customHeight="1" x14ac:dyDescent="0.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spans="1:32" ht="12.75" customHeight="1" x14ac:dyDescent="0.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spans="1:32" ht="12.75" customHeight="1" x14ac:dyDescent="0.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spans="1:32" ht="12.75" customHeight="1" x14ac:dyDescent="0.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spans="1:32" ht="12.75" customHeight="1" x14ac:dyDescent="0.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spans="1:32" ht="12.75" customHeight="1" x14ac:dyDescent="0.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spans="1:32" ht="12.75" customHeight="1" x14ac:dyDescent="0.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spans="1:32" ht="12.75" customHeight="1" x14ac:dyDescent="0.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spans="1:32" ht="12.75" customHeight="1" x14ac:dyDescent="0.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spans="1:32" ht="12.75" customHeight="1" x14ac:dyDescent="0.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spans="1:32" ht="12.75" customHeight="1" x14ac:dyDescent="0.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spans="1:32" ht="12.75" customHeight="1" x14ac:dyDescent="0.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spans="1:32" ht="12.75" customHeight="1" x14ac:dyDescent="0.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spans="1:32" ht="12.75" customHeight="1" x14ac:dyDescent="0.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spans="1:32" ht="12.75" customHeight="1" x14ac:dyDescent="0.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spans="1:32" ht="12.75" customHeight="1" x14ac:dyDescent="0.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spans="1:32" ht="12.75" customHeight="1" x14ac:dyDescent="0.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spans="1:32" ht="12.75" customHeight="1" x14ac:dyDescent="0.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spans="1:32" ht="12.75" customHeight="1" x14ac:dyDescent="0.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spans="1:32" ht="12.75" customHeight="1" x14ac:dyDescent="0.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spans="1:32" ht="12.75" customHeight="1" x14ac:dyDescent="0.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spans="1:32" ht="12.75" customHeight="1" x14ac:dyDescent="0.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spans="1:32" ht="12.75" customHeight="1" x14ac:dyDescent="0.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spans="1:32" ht="12.75" customHeight="1" x14ac:dyDescent="0.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spans="1:32" ht="12.75" customHeight="1" x14ac:dyDescent="0.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spans="1:32" ht="12.75" customHeight="1" x14ac:dyDescent="0.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spans="1:32" ht="12.75" customHeight="1" x14ac:dyDescent="0.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spans="1:32" ht="12.75" customHeight="1" x14ac:dyDescent="0.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spans="1:32" ht="12.75" customHeight="1" x14ac:dyDescent="0.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spans="1:32" ht="12.75" customHeight="1" x14ac:dyDescent="0.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spans="1:32" ht="12.75" customHeight="1" x14ac:dyDescent="0.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spans="1:32" ht="12.75" customHeight="1" x14ac:dyDescent="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spans="1:32" ht="12.75" customHeight="1" x14ac:dyDescent="0.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spans="1:32" ht="12.75" customHeight="1" x14ac:dyDescent="0.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spans="1:32" ht="12.75" customHeight="1" x14ac:dyDescent="0.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spans="1:32" ht="12.75" customHeight="1" x14ac:dyDescent="0.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spans="1:32" ht="12.75" customHeight="1" x14ac:dyDescent="0.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spans="1:32" ht="12.75" customHeight="1" x14ac:dyDescent="0.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spans="1:32" ht="12.75" customHeight="1" x14ac:dyDescent="0.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spans="1:32" ht="12.75" customHeight="1" x14ac:dyDescent="0.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spans="1:32" ht="12.75" customHeight="1" x14ac:dyDescent="0.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spans="1:32" ht="12.75" customHeight="1" x14ac:dyDescent="0.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spans="1:32" ht="12.75" customHeight="1" x14ac:dyDescent="0.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spans="1:32" ht="12.75" customHeight="1" x14ac:dyDescent="0.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spans="1:32" ht="12.75" customHeight="1" x14ac:dyDescent="0.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spans="1:32" ht="12.75" customHeight="1" x14ac:dyDescent="0.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spans="1:32" ht="12.75" customHeight="1" x14ac:dyDescent="0.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spans="1:32" ht="12.75" customHeight="1" x14ac:dyDescent="0.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spans="1:32" ht="12.75" customHeight="1" x14ac:dyDescent="0.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spans="1:32" ht="12.75" customHeight="1" x14ac:dyDescent="0.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spans="1:32" ht="12.75" customHeight="1" x14ac:dyDescent="0.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spans="1:32" ht="12.75" customHeight="1" x14ac:dyDescent="0.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spans="1:32" ht="12.75" customHeight="1" x14ac:dyDescent="0.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spans="1:32" ht="12.75" customHeight="1" x14ac:dyDescent="0.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spans="1:32" ht="12.75" customHeight="1" x14ac:dyDescent="0.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spans="1:32" ht="12.75" customHeight="1" x14ac:dyDescent="0.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spans="1:32" ht="12.75" customHeight="1" x14ac:dyDescent="0.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spans="1:32" ht="12.75" customHeight="1" x14ac:dyDescent="0.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spans="1:32" ht="12.75" customHeight="1" x14ac:dyDescent="0.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spans="1:32" ht="12.75" customHeight="1" x14ac:dyDescent="0.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spans="1:32" ht="12.75" customHeight="1" x14ac:dyDescent="0.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spans="1:32" ht="12.75" customHeight="1" x14ac:dyDescent="0.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spans="1:32" ht="12.75" customHeight="1" x14ac:dyDescent="0.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spans="1:32" ht="12.75" customHeight="1" x14ac:dyDescent="0.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spans="1:32" ht="12.75" customHeight="1" x14ac:dyDescent="0.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spans="1:32" ht="12.75" customHeight="1" x14ac:dyDescent="0.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spans="1:32" ht="12.75" customHeight="1" x14ac:dyDescent="0.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spans="1:32" ht="12.75" customHeight="1" x14ac:dyDescent="0.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spans="1:32" ht="12.75" customHeight="1" x14ac:dyDescent="0.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spans="1:32" ht="12.75" customHeight="1" x14ac:dyDescent="0.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spans="1:32" ht="12.75" customHeight="1" x14ac:dyDescent="0.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spans="1:32" ht="12.75" customHeight="1" x14ac:dyDescent="0.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spans="1:32" ht="12.75" customHeight="1" x14ac:dyDescent="0.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spans="1:32" ht="12.75" customHeight="1" x14ac:dyDescent="0.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spans="1:32" ht="12.75" customHeight="1" x14ac:dyDescent="0.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spans="1:32" ht="12.75" customHeight="1" x14ac:dyDescent="0.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spans="1:32" ht="12.75" customHeight="1" x14ac:dyDescent="0.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spans="1:32" ht="12.75" customHeight="1" x14ac:dyDescent="0.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spans="1:32" ht="12.75" customHeight="1" x14ac:dyDescent="0.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spans="1:32" ht="12.75" customHeight="1" x14ac:dyDescent="0.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spans="1:32" ht="12.75" customHeight="1" x14ac:dyDescent="0.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spans="1:32" ht="12.75" customHeight="1" x14ac:dyDescent="0.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spans="1:32" ht="12.75" customHeight="1" x14ac:dyDescent="0.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spans="1:32" ht="12.75" customHeight="1" x14ac:dyDescent="0.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spans="1:32" ht="12.75" customHeight="1" x14ac:dyDescent="0.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spans="1:32" ht="12.75" customHeight="1" x14ac:dyDescent="0.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spans="1:32" ht="12.75" customHeight="1" x14ac:dyDescent="0.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spans="1:32" ht="12.75" customHeight="1" x14ac:dyDescent="0.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spans="1:32" ht="12.75" customHeight="1" x14ac:dyDescent="0.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spans="1:32" ht="12.75" customHeight="1" x14ac:dyDescent="0.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spans="1:32" ht="12.75" customHeight="1" x14ac:dyDescent="0.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spans="1:32" ht="12.75" customHeight="1" x14ac:dyDescent="0.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spans="1:32" ht="12.75" customHeight="1" x14ac:dyDescent="0.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spans="1:32" ht="12.75" customHeight="1" x14ac:dyDescent="0.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spans="1:32" ht="12.75" customHeight="1" x14ac:dyDescent="0.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spans="1:32" ht="12.75" customHeight="1" x14ac:dyDescent="0.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spans="1:32" ht="12.75" customHeight="1" x14ac:dyDescent="0.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spans="1:32" ht="12.75" customHeight="1" x14ac:dyDescent="0.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spans="1:32" ht="12.75" customHeight="1" x14ac:dyDescent="0.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spans="1:32" ht="12.75" customHeight="1" x14ac:dyDescent="0.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spans="1:32" ht="12.75" customHeight="1" x14ac:dyDescent="0.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spans="1:32" ht="12.75" customHeight="1" x14ac:dyDescent="0.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spans="1:32" ht="12.75" customHeight="1" x14ac:dyDescent="0.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spans="1:32" ht="12.75" customHeight="1" x14ac:dyDescent="0.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spans="1:32" ht="12.75" customHeight="1" x14ac:dyDescent="0.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spans="1:32" ht="12.75" customHeight="1" x14ac:dyDescent="0.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spans="1:32" ht="12.75" customHeight="1" x14ac:dyDescent="0.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spans="1:32" ht="12.75" customHeight="1" x14ac:dyDescent="0.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spans="1:32" ht="12.75" customHeight="1" x14ac:dyDescent="0.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spans="1:32" ht="12.75" customHeight="1" x14ac:dyDescent="0.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spans="1:32" ht="12.75" customHeight="1" x14ac:dyDescent="0.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spans="1:32" ht="12.75" customHeight="1" x14ac:dyDescent="0.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spans="1:32" ht="12.75" customHeight="1" x14ac:dyDescent="0.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spans="1:32" ht="12.75" customHeight="1" x14ac:dyDescent="0.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spans="1:32" ht="12.75" customHeight="1" x14ac:dyDescent="0.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spans="1:32" ht="12.75" customHeight="1" x14ac:dyDescent="0.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spans="1:32" ht="12.75" customHeight="1" x14ac:dyDescent="0.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spans="1:32" ht="12.75" customHeight="1" x14ac:dyDescent="0.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spans="1:32" ht="12.75" customHeight="1" x14ac:dyDescent="0.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spans="1:32" ht="12.75" customHeight="1" x14ac:dyDescent="0.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spans="1:32" ht="12.75" customHeight="1" x14ac:dyDescent="0.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spans="1:32" ht="12.75" customHeight="1" x14ac:dyDescent="0.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spans="1:32" ht="12.75" customHeight="1" x14ac:dyDescent="0.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spans="1:32" ht="12.75" customHeight="1" x14ac:dyDescent="0.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spans="1:32" ht="12.75" customHeight="1" x14ac:dyDescent="0.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spans="1:32" ht="12.75" customHeight="1" x14ac:dyDescent="0.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spans="1:32" ht="12.75" customHeight="1" x14ac:dyDescent="0.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spans="1:32" ht="12.75" customHeight="1" x14ac:dyDescent="0.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spans="1:32" ht="12.75" customHeight="1" x14ac:dyDescent="0.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spans="1:32" ht="12.75" customHeight="1" x14ac:dyDescent="0.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spans="1:32" ht="12.75" customHeight="1" x14ac:dyDescent="0.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spans="1:32" ht="12.75" customHeight="1" x14ac:dyDescent="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spans="1:32" ht="12.75" customHeight="1" x14ac:dyDescent="0.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spans="1:32" ht="12.75" customHeight="1" x14ac:dyDescent="0.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spans="1:32" ht="12.75" customHeight="1" x14ac:dyDescent="0.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spans="1:32" ht="12.75" customHeight="1" x14ac:dyDescent="0.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spans="1:32" ht="12.75" customHeight="1" x14ac:dyDescent="0.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spans="1:32" ht="12.75" customHeight="1" x14ac:dyDescent="0.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spans="1:32" ht="12.75" customHeight="1" x14ac:dyDescent="0.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spans="1:32" ht="12.75" customHeight="1" x14ac:dyDescent="0.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spans="1:32" ht="12.75" customHeight="1" x14ac:dyDescent="0.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spans="1:32" ht="12.75" customHeight="1" x14ac:dyDescent="0.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spans="1:32" ht="12.75" customHeight="1" x14ac:dyDescent="0.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spans="1:32" ht="12.75" customHeight="1" x14ac:dyDescent="0.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spans="1:32" ht="12.75" customHeight="1" x14ac:dyDescent="0.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spans="1:32" ht="12.75" customHeight="1" x14ac:dyDescent="0.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spans="1:32" ht="12.75" customHeight="1" x14ac:dyDescent="0.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spans="1:32" ht="12.75" customHeight="1" x14ac:dyDescent="0.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spans="1:32" ht="12.75" customHeight="1" x14ac:dyDescent="0.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spans="1:32" ht="12.75" customHeight="1" x14ac:dyDescent="0.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spans="1:32" ht="12.75" customHeight="1" x14ac:dyDescent="0.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spans="1:32" ht="12.75" customHeight="1" x14ac:dyDescent="0.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spans="1:32" ht="12.75" customHeight="1" x14ac:dyDescent="0.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spans="1:32" ht="12.75" customHeight="1" x14ac:dyDescent="0.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spans="1:32" ht="12.75" customHeight="1" x14ac:dyDescent="0.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spans="1:32" ht="12.75" customHeight="1" x14ac:dyDescent="0.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spans="1:32" ht="12.75" customHeight="1" x14ac:dyDescent="0.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spans="1:32" ht="12.75" customHeight="1" x14ac:dyDescent="0.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spans="1:32" ht="12.75" customHeight="1" x14ac:dyDescent="0.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spans="1:32" ht="12.75" customHeight="1" x14ac:dyDescent="0.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spans="1:32" ht="12.75" customHeight="1" x14ac:dyDescent="0.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spans="1:32" ht="12.75" customHeight="1" x14ac:dyDescent="0.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spans="1:32" ht="12.75" customHeight="1" x14ac:dyDescent="0.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spans="1:32" ht="12.75" customHeight="1" x14ac:dyDescent="0.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spans="1:32" ht="12.75" customHeight="1" x14ac:dyDescent="0.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spans="1:32" ht="12.75" customHeight="1" x14ac:dyDescent="0.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spans="1:32" ht="12.75" customHeight="1" x14ac:dyDescent="0.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spans="1:32" ht="12.75" customHeight="1" x14ac:dyDescent="0.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spans="1:32" ht="12.75" customHeight="1" x14ac:dyDescent="0.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spans="1:32" ht="12.75" customHeight="1" x14ac:dyDescent="0.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spans="1:32" ht="12.75" customHeight="1" x14ac:dyDescent="0.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spans="1:32" ht="12.75" customHeight="1" x14ac:dyDescent="0.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spans="1:32" ht="12.75" customHeight="1" x14ac:dyDescent="0.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spans="1:32" ht="12.75" customHeight="1" x14ac:dyDescent="0.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spans="1:32" ht="12.75" customHeight="1" x14ac:dyDescent="0.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spans="1:32" ht="12.75" customHeight="1" x14ac:dyDescent="0.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spans="1:32" ht="12.75" customHeight="1" x14ac:dyDescent="0.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spans="1:32" ht="12.75" customHeight="1" x14ac:dyDescent="0.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spans="1:32" ht="12.75" customHeight="1" x14ac:dyDescent="0.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spans="1:32" ht="12.75" customHeight="1" x14ac:dyDescent="0.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spans="1:32" ht="12.75" customHeight="1" x14ac:dyDescent="0.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spans="1:32" ht="12.75" customHeight="1" x14ac:dyDescent="0.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spans="1:32" ht="12.75" customHeight="1" x14ac:dyDescent="0.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spans="1:32" ht="12.75" customHeight="1" x14ac:dyDescent="0.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spans="1:32" ht="12.75" customHeight="1" x14ac:dyDescent="0.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spans="1:32" ht="12.75" customHeight="1" x14ac:dyDescent="0.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spans="1:32" ht="12.75" customHeight="1" x14ac:dyDescent="0.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spans="1:32" ht="12.75" customHeight="1" x14ac:dyDescent="0.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spans="1:32" ht="12.75" customHeight="1" x14ac:dyDescent="0.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spans="1:32" ht="12.75" customHeight="1" x14ac:dyDescent="0.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spans="1:32" ht="12.75" customHeight="1" x14ac:dyDescent="0.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spans="1:32" ht="12.75" customHeight="1" x14ac:dyDescent="0.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spans="1:32" ht="12.75" customHeight="1" x14ac:dyDescent="0.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spans="1:32" ht="12.75" customHeight="1" x14ac:dyDescent="0.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spans="1:32" ht="12.75" customHeight="1" x14ac:dyDescent="0.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spans="1:32" ht="12.75" customHeight="1" x14ac:dyDescent="0.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spans="1:32" ht="12.75" customHeight="1" x14ac:dyDescent="0.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spans="1:32" ht="12.75" customHeight="1" x14ac:dyDescent="0.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spans="1:32" ht="12.75" customHeight="1" x14ac:dyDescent="0.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spans="1:32" ht="12.75" customHeight="1" x14ac:dyDescent="0.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spans="1:32" ht="12.75" customHeight="1" x14ac:dyDescent="0.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spans="1:32" ht="12.75" customHeight="1" x14ac:dyDescent="0.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spans="1:32" ht="12.75" customHeight="1" x14ac:dyDescent="0.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spans="1:32" ht="12.75" customHeight="1" x14ac:dyDescent="0.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spans="1:32" ht="12.75" customHeight="1" x14ac:dyDescent="0.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spans="1:32" ht="12.75" customHeight="1" x14ac:dyDescent="0.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spans="1:32" ht="12.75" customHeight="1" x14ac:dyDescent="0.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spans="1:32" ht="12.75" customHeight="1" x14ac:dyDescent="0.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spans="1:32" ht="12.75" customHeight="1" x14ac:dyDescent="0.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spans="1:32" ht="12.75" customHeight="1" x14ac:dyDescent="0.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spans="1:32" ht="12.75" customHeight="1" x14ac:dyDescent="0.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spans="1:32" ht="12.75" customHeight="1" x14ac:dyDescent="0.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spans="1:32" ht="12.75" customHeight="1" x14ac:dyDescent="0.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spans="1:32" ht="12.75" customHeight="1" x14ac:dyDescent="0.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spans="1:32" ht="12.75" customHeight="1" x14ac:dyDescent="0.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spans="1:32" ht="12.75" customHeight="1" x14ac:dyDescent="0.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spans="1:32" ht="12.75" customHeight="1" x14ac:dyDescent="0.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spans="1:32" ht="12.75" customHeight="1" x14ac:dyDescent="0.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spans="1:32" ht="12.75" customHeight="1" x14ac:dyDescent="0.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spans="1:32" ht="12.75" customHeight="1" x14ac:dyDescent="0.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spans="1:32" ht="12.75" customHeight="1" x14ac:dyDescent="0.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spans="1:32" ht="12.75" customHeight="1" x14ac:dyDescent="0.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spans="1:32" ht="12.75" customHeight="1" x14ac:dyDescent="0.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spans="1:32" ht="12.75" customHeight="1" x14ac:dyDescent="0.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spans="1:32" ht="12.75" customHeight="1" x14ac:dyDescent="0.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spans="1:32" ht="12.75" customHeight="1" x14ac:dyDescent="0.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spans="1:32" ht="12.75" customHeight="1" x14ac:dyDescent="0.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spans="1:32" ht="12.75" customHeight="1" x14ac:dyDescent="0.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spans="1:32" ht="12.75" customHeight="1" x14ac:dyDescent="0.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spans="1:32" ht="12.75" customHeight="1" x14ac:dyDescent="0.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spans="1:32" ht="12.75" customHeight="1" x14ac:dyDescent="0.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spans="1:32" ht="12.75" customHeight="1" x14ac:dyDescent="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spans="1:32" ht="12.75" customHeight="1" x14ac:dyDescent="0.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spans="1:32" ht="12.75" customHeight="1" x14ac:dyDescent="0.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spans="1:32" ht="12.75" customHeight="1" x14ac:dyDescent="0.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spans="1:32" ht="12.75" customHeight="1" x14ac:dyDescent="0.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spans="1:32" ht="12.75" customHeight="1" x14ac:dyDescent="0.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spans="1:32" ht="12.75" customHeight="1" x14ac:dyDescent="0.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spans="1:32" ht="12.75" customHeight="1" x14ac:dyDescent="0.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spans="1:32" ht="12.75" customHeight="1" x14ac:dyDescent="0.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spans="1:32" ht="12.75" customHeight="1" x14ac:dyDescent="0.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spans="1:32" ht="12.75" customHeight="1" x14ac:dyDescent="0.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spans="1:32" ht="12.75" customHeight="1" x14ac:dyDescent="0.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spans="1:32" ht="12.75" customHeight="1" x14ac:dyDescent="0.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spans="1:32" ht="12.75" customHeight="1" x14ac:dyDescent="0.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spans="1:32" ht="12.75" customHeight="1" x14ac:dyDescent="0.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spans="1:32" ht="12.75" customHeight="1" x14ac:dyDescent="0.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spans="1:32" ht="12.75" customHeight="1" x14ac:dyDescent="0.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spans="1:32" ht="12.75" customHeight="1" x14ac:dyDescent="0.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spans="1:32" ht="12.75" customHeight="1" x14ac:dyDescent="0.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spans="1:32" ht="12.75" customHeight="1" x14ac:dyDescent="0.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spans="1:32" ht="12.75" customHeight="1" x14ac:dyDescent="0.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spans="1:32" ht="12.75" customHeight="1" x14ac:dyDescent="0.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spans="1:32" ht="12.75" customHeight="1" x14ac:dyDescent="0.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spans="1:32" ht="12.75" customHeight="1" x14ac:dyDescent="0.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spans="1:32" ht="12.75" customHeight="1" x14ac:dyDescent="0.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spans="1:32" ht="12.75" customHeight="1" x14ac:dyDescent="0.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spans="1:32" ht="12.75" customHeight="1" x14ac:dyDescent="0.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spans="1:32" ht="12.75" customHeight="1" x14ac:dyDescent="0.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spans="1:32" ht="12.75" customHeight="1" x14ac:dyDescent="0.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spans="1:32" ht="12.75" customHeight="1" x14ac:dyDescent="0.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spans="1:32" ht="12.75" customHeight="1" x14ac:dyDescent="0.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spans="1:32" ht="12.75" customHeight="1" x14ac:dyDescent="0.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spans="1:32" ht="12.75" customHeight="1" x14ac:dyDescent="0.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spans="1:32" ht="12.75" customHeight="1" x14ac:dyDescent="0.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spans="1:32" ht="12.75" customHeight="1" x14ac:dyDescent="0.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spans="1:32" ht="12.75" customHeight="1" x14ac:dyDescent="0.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spans="1:32" ht="12.75" customHeight="1" x14ac:dyDescent="0.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spans="1:32" ht="12.75" customHeight="1" x14ac:dyDescent="0.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spans="1:32" ht="12.75" customHeight="1" x14ac:dyDescent="0.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spans="1:32" ht="12.75" customHeight="1" x14ac:dyDescent="0.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spans="1:32" ht="12.75" customHeight="1" x14ac:dyDescent="0.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spans="1:32" ht="12.75" customHeight="1" x14ac:dyDescent="0.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spans="1:32" ht="12.75" customHeight="1" x14ac:dyDescent="0.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spans="1:32" ht="12.75" customHeight="1" x14ac:dyDescent="0.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spans="1:32" ht="12.75" customHeight="1" x14ac:dyDescent="0.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spans="1:32" ht="12.75" customHeight="1" x14ac:dyDescent="0.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spans="1:32" ht="12.75" customHeight="1" x14ac:dyDescent="0.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spans="1:32" ht="12.75" customHeight="1" x14ac:dyDescent="0.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spans="1:32" ht="12.75" customHeight="1" x14ac:dyDescent="0.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spans="1:32" ht="12.75" customHeight="1" x14ac:dyDescent="0.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spans="1:32" ht="12.75" customHeight="1" x14ac:dyDescent="0.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spans="1:32" ht="12.75" customHeight="1" x14ac:dyDescent="0.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spans="1:32" ht="12.75" customHeight="1" x14ac:dyDescent="0.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spans="1:32" ht="12.75" customHeight="1" x14ac:dyDescent="0.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spans="1:32" ht="12.75" customHeight="1" x14ac:dyDescent="0.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spans="1:32" ht="12.75" customHeight="1" x14ac:dyDescent="0.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spans="1:32" ht="12.75" customHeight="1" x14ac:dyDescent="0.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spans="1:32" ht="12.75" customHeight="1" x14ac:dyDescent="0.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spans="1:32" ht="12.75" customHeight="1" x14ac:dyDescent="0.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spans="1:32" ht="12.75" customHeight="1" x14ac:dyDescent="0.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spans="1:32" ht="12.75" customHeight="1" x14ac:dyDescent="0.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spans="1:32" ht="12.75" customHeight="1" x14ac:dyDescent="0.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spans="1:32" ht="12.75" customHeight="1" x14ac:dyDescent="0.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spans="1:32" ht="12.75" customHeight="1" x14ac:dyDescent="0.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spans="1:32" ht="12.75" customHeight="1" x14ac:dyDescent="0.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spans="1:32" ht="12.75" customHeight="1" x14ac:dyDescent="0.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spans="1:32" ht="12.75" customHeight="1" x14ac:dyDescent="0.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spans="1:32" ht="12.75" customHeight="1" x14ac:dyDescent="0.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spans="1:32" ht="12.75" customHeight="1" x14ac:dyDescent="0.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spans="1:32" ht="12.75" customHeight="1" x14ac:dyDescent="0.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spans="1:32" ht="12.75" customHeight="1" x14ac:dyDescent="0.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spans="1:32" ht="12.75" customHeight="1" x14ac:dyDescent="0.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spans="1:32" ht="12.75" customHeight="1" x14ac:dyDescent="0.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spans="1:32" ht="12.75" customHeight="1" x14ac:dyDescent="0.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spans="1:32" ht="12.75" customHeight="1" x14ac:dyDescent="0.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spans="1:32" ht="12.75" customHeight="1" x14ac:dyDescent="0.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spans="1:32" ht="12.75" customHeight="1" x14ac:dyDescent="0.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spans="1:32" ht="12.75" customHeight="1" x14ac:dyDescent="0.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spans="1:32" ht="12.75" customHeight="1" x14ac:dyDescent="0.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spans="1:32" ht="12.75" customHeight="1" x14ac:dyDescent="0.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spans="1:32" ht="12.75" customHeight="1" x14ac:dyDescent="0.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spans="1:32" ht="12.75" customHeight="1" x14ac:dyDescent="0.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spans="1:32" ht="12.75" customHeight="1" x14ac:dyDescent="0.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spans="1:32" ht="12.75" customHeight="1" x14ac:dyDescent="0.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spans="1:32" ht="12.75" customHeight="1" x14ac:dyDescent="0.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spans="1:32" ht="12.75" customHeight="1" x14ac:dyDescent="0.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spans="1:32" ht="12.75" customHeight="1" x14ac:dyDescent="0.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spans="1:32" ht="12.75" customHeight="1" x14ac:dyDescent="0.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spans="1:32" ht="12.75" customHeight="1" x14ac:dyDescent="0.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spans="1:32" ht="12.75" customHeight="1" x14ac:dyDescent="0.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spans="1:32" ht="12.75" customHeight="1" x14ac:dyDescent="0.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spans="1:32" ht="12.75" customHeight="1" x14ac:dyDescent="0.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spans="1:32" ht="12.75" customHeight="1" x14ac:dyDescent="0.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spans="1:32" ht="12.75" customHeight="1" x14ac:dyDescent="0.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spans="1:32" ht="12.75" customHeight="1" x14ac:dyDescent="0.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spans="1:32" ht="12.75" customHeight="1" x14ac:dyDescent="0.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spans="1:32" ht="12.75" customHeight="1" x14ac:dyDescent="0.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spans="1:32" ht="12.75" customHeight="1" x14ac:dyDescent="0.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spans="1:32" ht="12.75" customHeight="1" x14ac:dyDescent="0.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spans="1:32" ht="12.75" customHeight="1" x14ac:dyDescent="0.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spans="1:32" ht="12.75" customHeight="1" x14ac:dyDescent="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spans="1:32" ht="12.75" customHeight="1" x14ac:dyDescent="0.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spans="1:32" ht="12.75" customHeight="1" x14ac:dyDescent="0.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spans="1:32" ht="12.75" customHeight="1" x14ac:dyDescent="0.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spans="1:32" ht="12.75" customHeight="1" x14ac:dyDescent="0.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spans="1:32" ht="12.75" customHeight="1" x14ac:dyDescent="0.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spans="1:32" ht="12.75" customHeight="1" x14ac:dyDescent="0.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spans="1:32" ht="12.75" customHeight="1" x14ac:dyDescent="0.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spans="1:32" ht="12.75" customHeight="1" x14ac:dyDescent="0.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spans="1:32" ht="12.75" customHeight="1" x14ac:dyDescent="0.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spans="1:32" ht="12.75" customHeight="1" x14ac:dyDescent="0.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spans="1:32" ht="12.75" customHeight="1" x14ac:dyDescent="0.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spans="1:32" ht="12.75" customHeight="1" x14ac:dyDescent="0.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spans="1:32" ht="12.75" customHeight="1" x14ac:dyDescent="0.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spans="1:32" ht="12.75" customHeight="1" x14ac:dyDescent="0.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spans="1:32" ht="12.75" customHeight="1" x14ac:dyDescent="0.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spans="1:32" ht="12.75" customHeight="1" x14ac:dyDescent="0.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spans="1:32" ht="12.75" customHeight="1" x14ac:dyDescent="0.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spans="1:32" ht="12.75" customHeight="1" x14ac:dyDescent="0.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spans="1:32" ht="12.75" customHeight="1" x14ac:dyDescent="0.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spans="1:32" ht="12.75" customHeight="1" x14ac:dyDescent="0.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spans="1:32" ht="12.75" customHeight="1" x14ac:dyDescent="0.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spans="1:32" ht="12.75" customHeight="1" x14ac:dyDescent="0.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spans="1:32" ht="12.75" customHeight="1" x14ac:dyDescent="0.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spans="1:32" ht="12.75" customHeight="1" x14ac:dyDescent="0.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spans="1:32" ht="12.75" customHeight="1" x14ac:dyDescent="0.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spans="1:32" ht="12.75" customHeight="1" x14ac:dyDescent="0.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spans="1:32" ht="12.75" customHeight="1" x14ac:dyDescent="0.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spans="1:32" ht="12.75" customHeight="1" x14ac:dyDescent="0.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spans="1:32" ht="12.75" customHeight="1" x14ac:dyDescent="0.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spans="1:32" ht="12.75" customHeight="1" x14ac:dyDescent="0.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spans="1:32" ht="12.75" customHeight="1" x14ac:dyDescent="0.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spans="1:32" ht="12.75" customHeight="1" x14ac:dyDescent="0.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spans="1:32" ht="12.75" customHeight="1" x14ac:dyDescent="0.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spans="1:32" ht="12.75" customHeight="1" x14ac:dyDescent="0.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spans="1:32" ht="12.75" customHeight="1" x14ac:dyDescent="0.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spans="1:32" ht="12.75" customHeight="1" x14ac:dyDescent="0.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spans="1:32" ht="12.75" customHeight="1" x14ac:dyDescent="0.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spans="1:32" ht="12.75" customHeight="1" x14ac:dyDescent="0.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spans="1:32" ht="12.75" customHeight="1" x14ac:dyDescent="0.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spans="1:32" ht="12.75" customHeight="1" x14ac:dyDescent="0.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spans="1:32" ht="12.75" customHeight="1" x14ac:dyDescent="0.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spans="1:32" ht="12.75" customHeight="1" x14ac:dyDescent="0.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spans="1:32" ht="12.75" customHeight="1" x14ac:dyDescent="0.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spans="1:32" ht="12.75" customHeight="1" x14ac:dyDescent="0.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spans="1:32" ht="12.75" customHeight="1" x14ac:dyDescent="0.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spans="1:32" ht="12.75" customHeight="1" x14ac:dyDescent="0.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spans="1:32" ht="12.75" customHeight="1" x14ac:dyDescent="0.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spans="1:32" ht="12.75" customHeight="1" x14ac:dyDescent="0.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spans="1:32" ht="12.75" customHeight="1" x14ac:dyDescent="0.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spans="1:32" ht="12.75" customHeight="1" x14ac:dyDescent="0.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spans="1:32" ht="12.75" customHeight="1" x14ac:dyDescent="0.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spans="1:32" ht="12.75" customHeight="1" x14ac:dyDescent="0.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spans="1:32" ht="12.75" customHeight="1" x14ac:dyDescent="0.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spans="1:32" ht="12.75" customHeight="1" x14ac:dyDescent="0.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spans="1:32" ht="12.75" customHeight="1" x14ac:dyDescent="0.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spans="1:32" ht="12.75" customHeight="1" x14ac:dyDescent="0.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spans="1:32" ht="12.75" customHeight="1" x14ac:dyDescent="0.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spans="1:32" ht="12.75" customHeight="1" x14ac:dyDescent="0.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spans="1:32" ht="12.75" customHeight="1" x14ac:dyDescent="0.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spans="1:32" ht="12.75" customHeight="1" x14ac:dyDescent="0.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spans="1:32" ht="12.75" customHeight="1" x14ac:dyDescent="0.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spans="1:32" ht="12.75" customHeight="1" x14ac:dyDescent="0.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spans="1:32" ht="12.75" customHeight="1" x14ac:dyDescent="0.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spans="1:32" ht="12.75" customHeight="1" x14ac:dyDescent="0.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spans="1:32" ht="12.75" customHeight="1" x14ac:dyDescent="0.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spans="1:32" ht="12.75" customHeight="1" x14ac:dyDescent="0.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spans="1:32" ht="12.75" customHeight="1" x14ac:dyDescent="0.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spans="1:32" ht="12.75" customHeight="1" x14ac:dyDescent="0.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spans="1:32" ht="12.75" customHeight="1" x14ac:dyDescent="0.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spans="1:32" ht="12.75" customHeight="1" x14ac:dyDescent="0.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spans="1:32" ht="12.75" customHeight="1" x14ac:dyDescent="0.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spans="1:32" ht="12.75" customHeight="1" x14ac:dyDescent="0.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spans="1:32" ht="12.75" customHeight="1" x14ac:dyDescent="0.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spans="1:32" ht="12.75" customHeight="1" x14ac:dyDescent="0.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spans="1:32" ht="12.75" customHeight="1" x14ac:dyDescent="0.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spans="1:32" ht="12.75" customHeight="1" x14ac:dyDescent="0.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spans="1:32" ht="12.75" customHeight="1" x14ac:dyDescent="0.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spans="1:32" ht="12.75" customHeight="1" x14ac:dyDescent="0.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spans="1:32" ht="12.75" customHeight="1" x14ac:dyDescent="0.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spans="1:32" ht="12.75" customHeight="1" x14ac:dyDescent="0.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spans="1:32" ht="12.75" customHeight="1" x14ac:dyDescent="0.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spans="1:32" ht="12.75" customHeight="1" x14ac:dyDescent="0.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spans="1:32" ht="12.75" customHeight="1" x14ac:dyDescent="0.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spans="1:32" ht="12.75" customHeight="1" x14ac:dyDescent="0.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spans="1:32" ht="12.75" customHeight="1" x14ac:dyDescent="0.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spans="1:32" ht="12.75" customHeight="1" x14ac:dyDescent="0.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spans="1:32" ht="12.75" customHeight="1" x14ac:dyDescent="0.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spans="1:32" ht="12.75" customHeight="1" x14ac:dyDescent="0.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spans="1:32" ht="12.75" customHeight="1" x14ac:dyDescent="0.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spans="1:32" ht="12.75" customHeight="1" x14ac:dyDescent="0.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spans="1:32" ht="12.75" customHeight="1" x14ac:dyDescent="0.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spans="1:32" ht="12.75" customHeight="1" x14ac:dyDescent="0.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spans="1:32" ht="12.75" customHeight="1" x14ac:dyDescent="0.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spans="1:32" ht="12.75" customHeight="1" x14ac:dyDescent="0.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spans="1:32" ht="12.75" customHeight="1" x14ac:dyDescent="0.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spans="1:32" ht="12.75" customHeight="1" x14ac:dyDescent="0.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spans="1:32" ht="12.75" customHeight="1" x14ac:dyDescent="0.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spans="1:32" ht="12.75" customHeight="1" x14ac:dyDescent="0.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spans="1:32" ht="12.75" customHeight="1" x14ac:dyDescent="0.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spans="1:32" ht="12.75" customHeight="1" x14ac:dyDescent="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spans="1:32" ht="12.75" customHeight="1" x14ac:dyDescent="0.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spans="1:32" ht="12.75" customHeight="1" x14ac:dyDescent="0.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spans="1:32" ht="12.75" customHeight="1" x14ac:dyDescent="0.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spans="1:32" ht="12.75" customHeight="1" x14ac:dyDescent="0.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spans="1:32" ht="12.75" customHeight="1" x14ac:dyDescent="0.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spans="1:32" ht="12.75" customHeight="1" x14ac:dyDescent="0.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spans="1:32" ht="12.75" customHeight="1" x14ac:dyDescent="0.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spans="1:32" ht="12.75" customHeight="1" x14ac:dyDescent="0.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spans="1:32" ht="12.75" customHeight="1" x14ac:dyDescent="0.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spans="1:32" ht="12.75" customHeight="1" x14ac:dyDescent="0.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spans="1:32" ht="12.75" customHeight="1" x14ac:dyDescent="0.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spans="1:32" ht="12.75" customHeight="1" x14ac:dyDescent="0.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spans="1:32" ht="12.75" customHeight="1" x14ac:dyDescent="0.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spans="1:32" ht="12.75" customHeight="1" x14ac:dyDescent="0.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spans="1:32" ht="12.75" customHeight="1" x14ac:dyDescent="0.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spans="1:32" ht="12.75" customHeight="1" x14ac:dyDescent="0.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spans="1:32" ht="12.75" customHeight="1" x14ac:dyDescent="0.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spans="1:32" ht="12.75" customHeight="1" x14ac:dyDescent="0.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spans="1:32" ht="12.75" customHeight="1" x14ac:dyDescent="0.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spans="1:32" ht="12.75" customHeight="1" x14ac:dyDescent="0.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spans="1:32" ht="12.75" customHeight="1" x14ac:dyDescent="0.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spans="1:32" ht="12.75" customHeight="1" x14ac:dyDescent="0.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spans="1:32" ht="12.75" customHeight="1" x14ac:dyDescent="0.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spans="1:32" ht="12.75" customHeight="1" x14ac:dyDescent="0.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spans="1:32" ht="12.75" customHeight="1" x14ac:dyDescent="0.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spans="1:32" ht="12.75" customHeight="1" x14ac:dyDescent="0.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spans="1:32" ht="12.75" customHeight="1" x14ac:dyDescent="0.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spans="1:32" ht="12.75" customHeight="1" x14ac:dyDescent="0.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spans="1:32" ht="12.75" customHeight="1" x14ac:dyDescent="0.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spans="1:32" ht="12.75" customHeight="1" x14ac:dyDescent="0.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spans="1:32" ht="12.75" customHeight="1" x14ac:dyDescent="0.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spans="1:32" ht="12.75" customHeight="1" x14ac:dyDescent="0.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spans="1:32" ht="12.75" customHeight="1" x14ac:dyDescent="0.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spans="1:32" ht="12.75" customHeight="1" x14ac:dyDescent="0.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spans="1:32" ht="12.75" customHeight="1" x14ac:dyDescent="0.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spans="1:32" ht="12.75" customHeight="1" x14ac:dyDescent="0.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spans="1:32" ht="12.75" customHeight="1" x14ac:dyDescent="0.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spans="1:32" ht="12.75" customHeight="1" x14ac:dyDescent="0.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spans="1:32" ht="12.75" customHeight="1" x14ac:dyDescent="0.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spans="1:32" ht="12.75" customHeight="1" x14ac:dyDescent="0.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spans="1:32" ht="12.75" customHeight="1" x14ac:dyDescent="0.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spans="1:32" ht="12.75" customHeight="1" x14ac:dyDescent="0.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spans="1:32" ht="12.75" customHeight="1" x14ac:dyDescent="0.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spans="1:32" ht="12.75" customHeight="1" x14ac:dyDescent="0.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spans="1:32" ht="12.75" customHeight="1" x14ac:dyDescent="0.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spans="1:32" ht="12.75" customHeight="1" x14ac:dyDescent="0.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spans="1:32" ht="12.75" customHeight="1" x14ac:dyDescent="0.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spans="1:32" ht="12.75" customHeight="1" x14ac:dyDescent="0.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spans="1:32" ht="12.75" customHeight="1" x14ac:dyDescent="0.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spans="1:32" ht="12.75" customHeight="1" x14ac:dyDescent="0.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spans="1:32" ht="12.75" customHeight="1" x14ac:dyDescent="0.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spans="1:32" ht="12.75" customHeight="1" x14ac:dyDescent="0.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spans="1:32" ht="12.75" customHeight="1" x14ac:dyDescent="0.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spans="1:32" ht="12.75" customHeight="1" x14ac:dyDescent="0.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spans="1:32" ht="12.75" customHeight="1" x14ac:dyDescent="0.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spans="1:32" ht="12.75" customHeight="1" x14ac:dyDescent="0.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spans="1:32" ht="12.75" customHeight="1" x14ac:dyDescent="0.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spans="1:32" ht="12.75" customHeight="1" x14ac:dyDescent="0.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spans="1:32" ht="12.75" customHeight="1" x14ac:dyDescent="0.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spans="1:32" ht="12.75" customHeight="1" x14ac:dyDescent="0.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spans="1:32" ht="12.75" customHeight="1" x14ac:dyDescent="0.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spans="1:32" ht="12.75" customHeight="1" x14ac:dyDescent="0.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spans="1:32" ht="12.75" customHeight="1" x14ac:dyDescent="0.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spans="1:32" ht="12.75" customHeight="1" x14ac:dyDescent="0.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spans="1:32" ht="12.75" customHeight="1" x14ac:dyDescent="0.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spans="1:32" ht="12.75" customHeight="1" x14ac:dyDescent="0.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spans="1:32" ht="12.75" customHeight="1" x14ac:dyDescent="0.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spans="1:32" ht="12.75" customHeight="1" x14ac:dyDescent="0.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spans="1:32" ht="12.75" customHeight="1" x14ac:dyDescent="0.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spans="1:32" ht="12.75" customHeight="1" x14ac:dyDescent="0.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spans="1:32" ht="12.75" customHeight="1" x14ac:dyDescent="0.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spans="1:32" ht="12.75" customHeight="1" x14ac:dyDescent="0.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spans="1:32" ht="12.75" customHeight="1" x14ac:dyDescent="0.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spans="1:32" ht="12.75" customHeight="1" x14ac:dyDescent="0.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spans="1:32" ht="12.75" customHeight="1" x14ac:dyDescent="0.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spans="1:32" ht="12.75" customHeight="1" x14ac:dyDescent="0.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spans="1:32" ht="12.75" customHeight="1" x14ac:dyDescent="0.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spans="1:32" ht="12.75" customHeight="1" x14ac:dyDescent="0.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spans="1:32" ht="12.75" customHeight="1" x14ac:dyDescent="0.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spans="1:32" ht="12.75" customHeight="1" x14ac:dyDescent="0.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spans="1:32" ht="12.75" customHeight="1" x14ac:dyDescent="0.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spans="1:32" ht="12.75" customHeight="1" x14ac:dyDescent="0.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spans="1:32" ht="12.75" customHeight="1" x14ac:dyDescent="0.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spans="1:32" ht="12.75" customHeight="1" x14ac:dyDescent="0.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spans="1:32" ht="12.75" customHeight="1" x14ac:dyDescent="0.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spans="1:32" ht="12.75" customHeight="1" x14ac:dyDescent="0.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spans="1:32" ht="12.75" customHeight="1" x14ac:dyDescent="0.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spans="1:32" ht="12.75" customHeight="1" x14ac:dyDescent="0.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spans="1:32" ht="12.75" customHeight="1" x14ac:dyDescent="0.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spans="1:32" ht="12.75" customHeight="1" x14ac:dyDescent="0.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spans="1:32" ht="12.75" customHeight="1" x14ac:dyDescent="0.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spans="1:32" ht="12.75" customHeight="1" x14ac:dyDescent="0.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spans="1:32" ht="12.75" customHeight="1" x14ac:dyDescent="0.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spans="1:32" ht="12.75" customHeight="1" x14ac:dyDescent="0.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spans="1:32" ht="12.75" customHeight="1" x14ac:dyDescent="0.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spans="1:32" ht="12.75" customHeight="1" x14ac:dyDescent="0.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spans="1:32" ht="12.75" customHeight="1" x14ac:dyDescent="0.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spans="1:32" ht="12.75" customHeight="1" x14ac:dyDescent="0.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spans="1:32" ht="12.75" customHeight="1" x14ac:dyDescent="0.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spans="1:32" ht="12.75" customHeight="1" x14ac:dyDescent="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spans="1:32" ht="12.75" customHeight="1" x14ac:dyDescent="0.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spans="1:32" ht="12.75" customHeight="1" x14ac:dyDescent="0.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spans="1:32" ht="12.75" customHeight="1" x14ac:dyDescent="0.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spans="1:32" ht="12.75" customHeight="1" x14ac:dyDescent="0.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spans="1:32" ht="12.75" customHeight="1" x14ac:dyDescent="0.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spans="1:32" ht="12.75" customHeight="1" x14ac:dyDescent="0.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spans="1:32" ht="12.75" customHeight="1" x14ac:dyDescent="0.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spans="1:32" ht="12.75" customHeight="1" x14ac:dyDescent="0.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spans="1:32" ht="12.75" customHeight="1" x14ac:dyDescent="0.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spans="1:32" ht="12.75" customHeight="1" x14ac:dyDescent="0.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spans="1:32" ht="12.75" customHeight="1" x14ac:dyDescent="0.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spans="1:32" ht="12.75" customHeight="1" x14ac:dyDescent="0.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spans="1:32" ht="12.75" customHeight="1" x14ac:dyDescent="0.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spans="1:32" ht="12.75" customHeight="1" x14ac:dyDescent="0.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spans="1:32" ht="12.75" customHeight="1" x14ac:dyDescent="0.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spans="1:32" ht="12.75" customHeight="1" x14ac:dyDescent="0.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spans="1:32" ht="12.75" customHeight="1" x14ac:dyDescent="0.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spans="1:32" ht="12.75" customHeight="1" x14ac:dyDescent="0.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spans="1:32" ht="12.75" customHeight="1" x14ac:dyDescent="0.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spans="1:32" ht="12.75" customHeight="1" x14ac:dyDescent="0.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spans="1:32" ht="12.75" customHeight="1" x14ac:dyDescent="0.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spans="1:32" ht="12.75" customHeight="1" x14ac:dyDescent="0.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spans="1:32" ht="12.75" customHeight="1" x14ac:dyDescent="0.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spans="1:32" ht="12.75" customHeight="1" x14ac:dyDescent="0.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spans="1:32" ht="12.75" customHeight="1" x14ac:dyDescent="0.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spans="1:32" ht="12.75" customHeight="1" x14ac:dyDescent="0.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spans="1:32" ht="12.75" customHeight="1" x14ac:dyDescent="0.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spans="1:32" ht="12.75" customHeight="1" x14ac:dyDescent="0.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spans="1:32" ht="12.75" customHeight="1" x14ac:dyDescent="0.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spans="1:32" ht="12.75" customHeight="1" x14ac:dyDescent="0.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spans="1:32" ht="12.75" customHeight="1" x14ac:dyDescent="0.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spans="1:32" ht="12.75" customHeight="1" x14ac:dyDescent="0.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spans="1:32" ht="12.75" customHeight="1" x14ac:dyDescent="0.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spans="1:32" ht="12.75" customHeight="1" x14ac:dyDescent="0.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spans="1:32" ht="12.75" customHeight="1" x14ac:dyDescent="0.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spans="1:32" ht="12.75" customHeight="1" x14ac:dyDescent="0.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spans="1:32" ht="12.75" customHeight="1" x14ac:dyDescent="0.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spans="1:32" ht="12.75" customHeight="1" x14ac:dyDescent="0.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spans="1:32" ht="12.75" customHeight="1" x14ac:dyDescent="0.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spans="1:32" ht="12.75" customHeight="1" x14ac:dyDescent="0.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spans="1:32" ht="12.75" customHeight="1" x14ac:dyDescent="0.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spans="1:32" ht="12.75" customHeight="1" x14ac:dyDescent="0.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spans="1:32" ht="12.75" customHeight="1" x14ac:dyDescent="0.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spans="1:32" ht="12.75" customHeight="1" x14ac:dyDescent="0.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spans="1:32" ht="12.75" customHeight="1" x14ac:dyDescent="0.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spans="1:32" ht="12.75" customHeight="1" x14ac:dyDescent="0.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spans="1:32" ht="12.75" customHeight="1" x14ac:dyDescent="0.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spans="1:32" ht="12.75" customHeight="1" x14ac:dyDescent="0.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spans="1:32" ht="12.75" customHeight="1" x14ac:dyDescent="0.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spans="1:32" ht="12.75" customHeight="1" x14ac:dyDescent="0.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spans="1:32" ht="12.75" customHeight="1" x14ac:dyDescent="0.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spans="1:32" ht="12.75" customHeight="1" x14ac:dyDescent="0.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spans="1:32" ht="12.75" customHeight="1" x14ac:dyDescent="0.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spans="1:32" ht="12.75" customHeight="1" x14ac:dyDescent="0.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spans="1:32" ht="12.75" customHeight="1" x14ac:dyDescent="0.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spans="1:32" ht="12.75" customHeight="1" x14ac:dyDescent="0.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spans="1:32" ht="12.75" customHeight="1" x14ac:dyDescent="0.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spans="1:32" ht="12.75" customHeight="1" x14ac:dyDescent="0.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spans="1:32" ht="12.75" customHeight="1" x14ac:dyDescent="0.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spans="1:32" ht="12.75" customHeight="1" x14ac:dyDescent="0.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spans="1:32" ht="12.75" customHeight="1" x14ac:dyDescent="0.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spans="1:32" ht="12.75" customHeight="1" x14ac:dyDescent="0.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spans="1:32" ht="12.75" customHeight="1" x14ac:dyDescent="0.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spans="1:32" ht="12.75" customHeight="1" x14ac:dyDescent="0.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spans="1:32" ht="12.75" customHeight="1" x14ac:dyDescent="0.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spans="1:32" ht="12.75" customHeight="1" x14ac:dyDescent="0.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spans="1:32" ht="12.75" customHeight="1" x14ac:dyDescent="0.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spans="1:32" ht="12.75" customHeight="1" x14ac:dyDescent="0.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spans="1:32" ht="12.75" customHeight="1" x14ac:dyDescent="0.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spans="1:32" ht="12.75" customHeight="1" x14ac:dyDescent="0.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spans="1:32" ht="12.75" customHeight="1" x14ac:dyDescent="0.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spans="1:32" ht="12.75" customHeight="1" x14ac:dyDescent="0.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spans="1:32" ht="12.75" customHeight="1" x14ac:dyDescent="0.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spans="1:32" ht="12.75" customHeight="1" x14ac:dyDescent="0.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spans="1:32" ht="12.75" customHeight="1" x14ac:dyDescent="0.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spans="1:32" ht="12.75" customHeight="1" x14ac:dyDescent="0.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spans="1:32" ht="12.75" customHeight="1" x14ac:dyDescent="0.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spans="1:32" ht="12.75" customHeight="1" x14ac:dyDescent="0.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spans="1:32" ht="12.75" customHeight="1" x14ac:dyDescent="0.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spans="1:32" ht="12.75" customHeight="1" x14ac:dyDescent="0.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spans="1:32" ht="12.75" customHeight="1" x14ac:dyDescent="0.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spans="1:32" ht="12.75" customHeight="1" x14ac:dyDescent="0.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spans="1:32" ht="12.75" customHeight="1" x14ac:dyDescent="0.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spans="1:32" ht="12.75" customHeight="1" x14ac:dyDescent="0.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spans="1:32" ht="12.75" customHeight="1" x14ac:dyDescent="0.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spans="1:32" ht="12.75" customHeight="1" x14ac:dyDescent="0.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spans="1:32" ht="12.75" customHeight="1" x14ac:dyDescent="0.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spans="1:32" ht="12.75" customHeight="1" x14ac:dyDescent="0.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spans="1:32" ht="12.75" customHeight="1" x14ac:dyDescent="0.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spans="1:32" ht="12.75" customHeight="1" x14ac:dyDescent="0.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spans="1:32" ht="12.75" customHeight="1" x14ac:dyDescent="0.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spans="1:32" ht="12.75" customHeight="1" x14ac:dyDescent="0.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spans="1:32" ht="12.75" customHeight="1" x14ac:dyDescent="0.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spans="1:32" ht="12.75" customHeight="1" x14ac:dyDescent="0.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spans="1:32" ht="12.75" customHeight="1" x14ac:dyDescent="0.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spans="1:32" ht="12.75" customHeight="1" x14ac:dyDescent="0.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spans="1:32" ht="12.75" customHeight="1" x14ac:dyDescent="0.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spans="1:32" ht="12.75" customHeight="1" x14ac:dyDescent="0.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spans="1:32" ht="12.75" customHeight="1" x14ac:dyDescent="0.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spans="1:32" ht="12.75" customHeight="1" x14ac:dyDescent="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spans="1:32" ht="12.75" customHeight="1" x14ac:dyDescent="0.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spans="1:32" ht="12.75" customHeight="1" x14ac:dyDescent="0.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spans="1:32" ht="12.75" customHeight="1" x14ac:dyDescent="0.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spans="1:32" ht="12.75" customHeight="1" x14ac:dyDescent="0.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spans="1:32" ht="12.75" customHeight="1" x14ac:dyDescent="0.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spans="1:32" ht="12.75" customHeight="1" x14ac:dyDescent="0.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spans="1:32" ht="12.75" customHeight="1" x14ac:dyDescent="0.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spans="1:32" ht="12.75" customHeight="1" x14ac:dyDescent="0.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spans="1:32" ht="12.75" customHeight="1" x14ac:dyDescent="0.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spans="1:32" ht="12.75" customHeight="1" x14ac:dyDescent="0.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spans="1:32" ht="12.75" customHeight="1" x14ac:dyDescent="0.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spans="1:32" ht="12.75" customHeight="1" x14ac:dyDescent="0.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spans="1:32" ht="12.75" customHeight="1" x14ac:dyDescent="0.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spans="1:32" ht="12.75" customHeight="1" x14ac:dyDescent="0.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spans="1:32" ht="12.75" customHeight="1" x14ac:dyDescent="0.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spans="1:32" ht="12.75" customHeight="1" x14ac:dyDescent="0.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spans="1:32" ht="12.75" customHeight="1" x14ac:dyDescent="0.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spans="1:32" ht="12.75" customHeight="1" x14ac:dyDescent="0.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spans="1:32" ht="12.75" customHeight="1" x14ac:dyDescent="0.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spans="1:32" ht="12.75" customHeight="1" x14ac:dyDescent="0.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spans="1:32" ht="12.75" customHeight="1" x14ac:dyDescent="0.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spans="1:32" ht="12.75" customHeight="1" x14ac:dyDescent="0.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spans="1:32" ht="12.75" customHeight="1" x14ac:dyDescent="0.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spans="1:32" ht="12.75" customHeight="1" x14ac:dyDescent="0.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spans="1:32" ht="12.75" customHeight="1" x14ac:dyDescent="0.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spans="1:32" ht="12.75" customHeight="1" x14ac:dyDescent="0.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spans="1:32" ht="12.75" customHeight="1" x14ac:dyDescent="0.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spans="1:32" ht="12.75" customHeight="1" x14ac:dyDescent="0.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spans="1:32" ht="12.75" customHeight="1" x14ac:dyDescent="0.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spans="1:32" ht="12.75" customHeight="1" x14ac:dyDescent="0.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spans="1:32" ht="12.75" customHeight="1" x14ac:dyDescent="0.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spans="1:32" ht="12.75" customHeight="1" x14ac:dyDescent="0.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spans="1:32" ht="12.75" customHeight="1" x14ac:dyDescent="0.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spans="1:32" ht="12.75" customHeight="1" x14ac:dyDescent="0.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spans="1:32" ht="12.75" customHeight="1" x14ac:dyDescent="0.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spans="1:32" ht="12.75" customHeight="1" x14ac:dyDescent="0.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spans="1:32" ht="12.75" customHeight="1" x14ac:dyDescent="0.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spans="1:32" ht="12.75" customHeight="1" x14ac:dyDescent="0.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spans="1:32" ht="12.75" customHeight="1" x14ac:dyDescent="0.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spans="1:32" ht="12.75" customHeight="1" x14ac:dyDescent="0.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spans="1:32" ht="12.75" customHeight="1" x14ac:dyDescent="0.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spans="1:32" ht="12.75" customHeight="1" x14ac:dyDescent="0.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spans="1:32" ht="12.75" customHeight="1" x14ac:dyDescent="0.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spans="1:32" ht="12.75" customHeight="1" x14ac:dyDescent="0.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spans="1:32" ht="12.75" customHeight="1" x14ac:dyDescent="0.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spans="1:32" ht="12.75" customHeight="1" x14ac:dyDescent="0.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spans="1:32" ht="12.75" customHeight="1" x14ac:dyDescent="0.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spans="1:32" ht="12.75" customHeight="1" x14ac:dyDescent="0.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spans="1:32" ht="12.75" customHeight="1" x14ac:dyDescent="0.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spans="1:32" ht="12.75" customHeight="1" x14ac:dyDescent="0.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spans="1:32" ht="12.75" customHeight="1" x14ac:dyDescent="0.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spans="1:32" ht="12.75" customHeight="1" x14ac:dyDescent="0.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spans="1:32" ht="12.75" customHeight="1" x14ac:dyDescent="0.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spans="1:32" ht="12.75" customHeight="1" x14ac:dyDescent="0.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spans="1:32" ht="12.75" customHeight="1" x14ac:dyDescent="0.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spans="1:32" ht="12.75" customHeight="1" x14ac:dyDescent="0.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spans="1:32" ht="12.75" customHeight="1" x14ac:dyDescent="0.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spans="1:32" ht="12.75" customHeight="1" x14ac:dyDescent="0.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spans="1:32" ht="12.75" customHeight="1" x14ac:dyDescent="0.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spans="1:32" ht="12.75" customHeight="1" x14ac:dyDescent="0.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spans="1:32" ht="12.75" customHeight="1" x14ac:dyDescent="0.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spans="1:32" ht="12.75" customHeight="1" x14ac:dyDescent="0.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spans="1:32" ht="12.75" customHeight="1" x14ac:dyDescent="0.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spans="1:32" ht="12.75" customHeight="1" x14ac:dyDescent="0.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spans="1:32" ht="12.75" customHeight="1" x14ac:dyDescent="0.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spans="1:32" ht="12.75" customHeight="1" x14ac:dyDescent="0.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spans="1:32" ht="12.75" customHeight="1" x14ac:dyDescent="0.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spans="1:32" ht="12.75" customHeight="1" x14ac:dyDescent="0.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spans="1:32" ht="12.75" customHeight="1" x14ac:dyDescent="0.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spans="1:32" ht="12.75" customHeight="1" x14ac:dyDescent="0.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spans="1:32" ht="12.75" customHeight="1" x14ac:dyDescent="0.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spans="1:32" ht="12.75" customHeight="1" x14ac:dyDescent="0.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spans="1:32" ht="12.75" customHeight="1" x14ac:dyDescent="0.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spans="1:32" ht="12.75" customHeight="1" x14ac:dyDescent="0.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spans="1:32" ht="12.75" customHeight="1" x14ac:dyDescent="0.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spans="1:32" ht="12.75" customHeight="1" x14ac:dyDescent="0.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spans="1:32" ht="12.75" customHeight="1" x14ac:dyDescent="0.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spans="1:32" ht="12.75" customHeight="1" x14ac:dyDescent="0.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spans="1:32" ht="12.75" customHeight="1" x14ac:dyDescent="0.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spans="1:32" ht="12.75" customHeight="1" x14ac:dyDescent="0.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spans="1:32" ht="12.75" customHeight="1" x14ac:dyDescent="0.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spans="1:32" ht="12.75" customHeight="1" x14ac:dyDescent="0.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spans="1:32" ht="12.75" customHeight="1" x14ac:dyDescent="0.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spans="1:32" ht="12.75" customHeight="1" x14ac:dyDescent="0.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spans="1:32" ht="12.75" customHeight="1" x14ac:dyDescent="0.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spans="1:32" ht="12.75" customHeight="1" x14ac:dyDescent="0.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spans="1:32" ht="12.75" customHeight="1" x14ac:dyDescent="0.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spans="1:32" ht="12.75" customHeight="1" x14ac:dyDescent="0.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spans="1:32" ht="12.75" customHeight="1" x14ac:dyDescent="0.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spans="1:32" ht="12.75" customHeight="1" x14ac:dyDescent="0.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spans="1:32" ht="12.75" customHeight="1" x14ac:dyDescent="0.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spans="1:32" ht="12.75" customHeight="1" x14ac:dyDescent="0.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spans="1:32" ht="12.75" customHeight="1" x14ac:dyDescent="0.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spans="1:32" ht="12.75" customHeight="1" x14ac:dyDescent="0.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sheetData>
  <mergeCells count="18">
    <mergeCell ref="A5:Q5"/>
    <mergeCell ref="A6:A7"/>
    <mergeCell ref="B6:B7"/>
    <mergeCell ref="C6:C7"/>
    <mergeCell ref="D6:D7"/>
    <mergeCell ref="E6:E7"/>
    <mergeCell ref="F6:F7"/>
    <mergeCell ref="G6:G7"/>
    <mergeCell ref="H6:H7"/>
    <mergeCell ref="I6:I7"/>
    <mergeCell ref="J6:J7"/>
    <mergeCell ref="K6:K7"/>
    <mergeCell ref="L6:L7"/>
    <mergeCell ref="A16:G16"/>
    <mergeCell ref="A18:D18"/>
    <mergeCell ref="M6:M7"/>
    <mergeCell ref="O6:P6"/>
    <mergeCell ref="Q6:Q7"/>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98"/>
  <sheetViews>
    <sheetView showGridLines="0" workbookViewId="0">
      <pane ySplit="9" topLeftCell="A10" activePane="bottomLeft" state="frozen"/>
      <selection pane="bottomLeft" activeCell="B25" sqref="B25"/>
    </sheetView>
    <sheetView workbookViewId="1"/>
  </sheetViews>
  <sheetFormatPr defaultColWidth="0" defaultRowHeight="15" customHeight="1" x14ac:dyDescent="0.2"/>
  <cols>
    <col min="1" max="1" width="35.42578125" customWidth="1"/>
    <col min="2" max="2" width="65.85546875" customWidth="1"/>
    <col min="3" max="3" width="9.28515625" customWidth="1"/>
    <col min="4" max="4" width="10.42578125" customWidth="1"/>
    <col min="5" max="5" width="22.7109375" customWidth="1"/>
    <col min="6" max="6" width="7.28515625" customWidth="1"/>
    <col min="7" max="7" width="9" bestFit="1" customWidth="1"/>
    <col min="8" max="8" width="13.28515625" customWidth="1"/>
    <col min="9" max="9" width="10" customWidth="1"/>
    <col min="10" max="11" width="10" hidden="1" customWidth="1"/>
    <col min="12" max="12" width="14.28515625" hidden="1" customWidth="1"/>
    <col min="13" max="27" width="10" hidden="1" customWidth="1"/>
    <col min="28" max="16384" width="12.42578125" hidden="1"/>
  </cols>
  <sheetData>
    <row r="1" spans="1:26" ht="15" customHeight="1" x14ac:dyDescent="0.2">
      <c r="A1" s="55" t="str">
        <f>'RESUMEN GENERAL'!A3</f>
        <v xml:space="preserve">Título del proyecto:   </v>
      </c>
      <c r="B1" s="60" t="str" cm="1">
        <f t="array" ref="B1:J1">'RESUMEN GENERAL'!B3:J3</f>
        <v xml:space="preserve">Funciones evolutivas del habla dirigida a bebés: Impacto en la atención, las preferencias auditivas y el desarrollo lingüístico y musical temprano </v>
      </c>
      <c r="C1" s="159">
        <v>0</v>
      </c>
      <c r="D1" s="159">
        <v>0</v>
      </c>
      <c r="E1" s="159">
        <v>0</v>
      </c>
      <c r="F1" s="159">
        <v>0</v>
      </c>
      <c r="G1" s="159">
        <v>0</v>
      </c>
      <c r="H1" s="159">
        <v>0</v>
      </c>
      <c r="I1" s="159">
        <v>0</v>
      </c>
      <c r="J1" s="159">
        <v>0</v>
      </c>
    </row>
    <row r="2" spans="1:26" ht="15" customHeight="1" x14ac:dyDescent="0.2">
      <c r="A2" s="55" t="str">
        <f>'RESUMEN GENERAL'!A4</f>
        <v xml:space="preserve">Investigador Principal: </v>
      </c>
      <c r="B2" s="60" t="str" cm="1">
        <f t="array" ref="B2:J2">'RESUMEN GENERAL'!B4:J4</f>
        <v>Juan David Leongómez Peña</v>
      </c>
      <c r="C2" s="159">
        <v>0</v>
      </c>
      <c r="D2" s="159">
        <v>0</v>
      </c>
      <c r="E2" s="159">
        <v>0</v>
      </c>
      <c r="F2" s="159">
        <v>0</v>
      </c>
      <c r="G2" s="159">
        <v>0</v>
      </c>
      <c r="H2" s="159">
        <v>0</v>
      </c>
      <c r="I2" s="159">
        <v>0</v>
      </c>
      <c r="J2" s="159">
        <v>0</v>
      </c>
    </row>
    <row r="4" spans="1:26" ht="15" customHeight="1" x14ac:dyDescent="0.2">
      <c r="A4" s="52" t="s">
        <v>46</v>
      </c>
    </row>
    <row r="5" spans="1:26" ht="15" customHeight="1" x14ac:dyDescent="0.2">
      <c r="A5" s="291" t="s">
        <v>146</v>
      </c>
      <c r="B5" s="291"/>
      <c r="C5" s="291"/>
      <c r="D5" s="291"/>
      <c r="E5" s="291"/>
      <c r="F5" s="291"/>
      <c r="G5" s="291"/>
      <c r="H5" s="291"/>
    </row>
    <row r="6" spans="1:26" ht="15" customHeight="1" x14ac:dyDescent="0.2">
      <c r="A6" s="291"/>
      <c r="B6" s="291"/>
      <c r="C6" s="291"/>
      <c r="D6" s="291"/>
      <c r="E6" s="291"/>
      <c r="F6" s="291"/>
      <c r="G6" s="291"/>
      <c r="H6" s="291"/>
    </row>
    <row r="7" spans="1:26" ht="15" customHeight="1" x14ac:dyDescent="0.2">
      <c r="A7" s="292"/>
      <c r="B7" s="292"/>
      <c r="C7" s="292"/>
      <c r="D7" s="292"/>
      <c r="E7" s="292"/>
      <c r="F7" s="292"/>
      <c r="G7" s="292"/>
      <c r="H7" s="292"/>
    </row>
    <row r="8" spans="1:26" ht="35.25" customHeight="1" x14ac:dyDescent="0.2">
      <c r="A8" s="273" t="s">
        <v>123</v>
      </c>
      <c r="B8" s="273" t="s">
        <v>91</v>
      </c>
      <c r="C8" s="269" t="s">
        <v>63</v>
      </c>
      <c r="D8" s="269" t="s">
        <v>93</v>
      </c>
      <c r="E8" s="25" t="s">
        <v>32</v>
      </c>
      <c r="F8" s="271" t="s">
        <v>69</v>
      </c>
      <c r="G8" s="272"/>
      <c r="H8" s="269" t="s">
        <v>36</v>
      </c>
    </row>
    <row r="9" spans="1:26" ht="38.25" customHeight="1" x14ac:dyDescent="0.2">
      <c r="A9" s="274"/>
      <c r="B9" s="274"/>
      <c r="C9" s="270"/>
      <c r="D9" s="270"/>
      <c r="E9" s="49" t="s">
        <v>94</v>
      </c>
      <c r="F9" s="1" t="s">
        <v>41</v>
      </c>
      <c r="G9" s="1" t="s">
        <v>40</v>
      </c>
      <c r="H9" s="270"/>
      <c r="I9" s="200"/>
      <c r="J9" s="200"/>
      <c r="K9" s="63"/>
      <c r="L9" s="63"/>
      <c r="M9" s="63"/>
      <c r="N9" s="63"/>
      <c r="O9" s="63"/>
      <c r="P9" s="63"/>
      <c r="Q9" s="63"/>
      <c r="R9" s="63"/>
      <c r="S9" s="63"/>
      <c r="T9" s="63"/>
      <c r="U9" s="63"/>
      <c r="V9" s="63"/>
      <c r="W9" s="63"/>
      <c r="X9" s="63"/>
      <c r="Y9" s="63"/>
      <c r="Z9" s="63"/>
    </row>
    <row r="10" spans="1:26" ht="114.75" x14ac:dyDescent="0.2">
      <c r="A10" s="306" t="s">
        <v>199</v>
      </c>
      <c r="B10" s="306" t="s">
        <v>200</v>
      </c>
      <c r="C10" s="307">
        <v>200</v>
      </c>
      <c r="D10" s="307">
        <v>40000</v>
      </c>
      <c r="E10" s="35">
        <f>C10*D10</f>
        <v>8000000</v>
      </c>
      <c r="F10" s="39">
        <v>0</v>
      </c>
      <c r="G10" s="39">
        <v>0</v>
      </c>
      <c r="H10" s="39">
        <f>SUM(E10:G10)</f>
        <v>8000000</v>
      </c>
      <c r="I10" s="51"/>
      <c r="J10" s="51"/>
      <c r="K10" s="51"/>
      <c r="L10" s="51"/>
      <c r="M10" s="51"/>
      <c r="N10" s="51"/>
      <c r="O10" s="51"/>
      <c r="P10" s="51"/>
      <c r="Q10" s="51"/>
      <c r="R10" s="51"/>
      <c r="S10" s="51"/>
      <c r="T10" s="51"/>
      <c r="U10" s="51"/>
      <c r="V10" s="51"/>
      <c r="W10" s="51"/>
      <c r="X10" s="51"/>
      <c r="Y10" s="51"/>
      <c r="Z10" s="51"/>
    </row>
    <row r="11" spans="1:26" ht="12.75" customHeight="1" x14ac:dyDescent="0.2">
      <c r="A11" s="47"/>
      <c r="B11" s="47"/>
      <c r="C11" s="48"/>
      <c r="D11" s="39">
        <v>0</v>
      </c>
      <c r="E11" s="39">
        <v>0</v>
      </c>
      <c r="F11" s="39">
        <v>0</v>
      </c>
      <c r="G11" s="39">
        <v>0</v>
      </c>
      <c r="H11" s="39">
        <f t="shared" ref="H11:H17" si="0">SUM(C11:D11)</f>
        <v>0</v>
      </c>
      <c r="I11" s="51"/>
      <c r="J11" s="51"/>
      <c r="K11" s="51"/>
      <c r="L11" s="51"/>
      <c r="M11" s="51"/>
      <c r="N11" s="51"/>
      <c r="O11" s="51"/>
      <c r="P11" s="51"/>
      <c r="Q11" s="51"/>
      <c r="R11" s="51"/>
      <c r="S11" s="51"/>
      <c r="T11" s="51"/>
      <c r="U11" s="51"/>
      <c r="V11" s="51"/>
      <c r="W11" s="51"/>
      <c r="X11" s="51"/>
      <c r="Y11" s="51"/>
      <c r="Z11" s="51"/>
    </row>
    <row r="12" spans="1:26" ht="12.75" customHeight="1" x14ac:dyDescent="0.2">
      <c r="A12" s="47"/>
      <c r="B12" s="47"/>
      <c r="C12" s="48"/>
      <c r="D12" s="39">
        <v>0</v>
      </c>
      <c r="E12" s="39">
        <v>0</v>
      </c>
      <c r="F12" s="39">
        <v>0</v>
      </c>
      <c r="G12" s="39">
        <v>0</v>
      </c>
      <c r="H12" s="39">
        <f t="shared" si="0"/>
        <v>0</v>
      </c>
      <c r="I12" s="51"/>
      <c r="J12" s="63"/>
      <c r="K12" s="63"/>
      <c r="L12" s="63"/>
      <c r="M12" s="63"/>
      <c r="N12" s="63"/>
      <c r="O12" s="63"/>
      <c r="P12" s="63"/>
      <c r="Q12" s="63"/>
      <c r="R12" s="63"/>
      <c r="S12" s="63"/>
      <c r="T12" s="63"/>
      <c r="U12" s="63"/>
      <c r="V12" s="63"/>
      <c r="W12" s="63"/>
      <c r="X12" s="63"/>
      <c r="Y12" s="63"/>
      <c r="Z12" s="63"/>
    </row>
    <row r="13" spans="1:26" ht="12.75" customHeight="1" x14ac:dyDescent="0.2">
      <c r="A13" s="47"/>
      <c r="B13" s="47"/>
      <c r="C13" s="48"/>
      <c r="D13" s="39">
        <v>0</v>
      </c>
      <c r="E13" s="39">
        <v>0</v>
      </c>
      <c r="F13" s="39">
        <v>0</v>
      </c>
      <c r="G13" s="39">
        <v>0</v>
      </c>
      <c r="H13" s="39">
        <f t="shared" si="0"/>
        <v>0</v>
      </c>
      <c r="I13" s="51"/>
      <c r="J13" s="63"/>
      <c r="K13" s="63"/>
      <c r="L13" s="63"/>
      <c r="M13" s="63"/>
      <c r="N13" s="63"/>
      <c r="O13" s="63"/>
      <c r="P13" s="63"/>
      <c r="Q13" s="63"/>
      <c r="R13" s="63"/>
      <c r="S13" s="63"/>
      <c r="T13" s="63"/>
      <c r="U13" s="63"/>
      <c r="V13" s="63"/>
      <c r="W13" s="63"/>
      <c r="X13" s="63"/>
      <c r="Y13" s="63"/>
      <c r="Z13" s="63"/>
    </row>
    <row r="14" spans="1:26" ht="12.75" customHeight="1" x14ac:dyDescent="0.2">
      <c r="A14" s="47"/>
      <c r="B14" s="47"/>
      <c r="C14" s="48"/>
      <c r="D14" s="39">
        <v>0</v>
      </c>
      <c r="E14" s="39">
        <v>0</v>
      </c>
      <c r="F14" s="39">
        <v>0</v>
      </c>
      <c r="G14" s="39">
        <v>0</v>
      </c>
      <c r="H14" s="39">
        <f t="shared" si="0"/>
        <v>0</v>
      </c>
      <c r="I14" s="51"/>
      <c r="J14" s="63"/>
      <c r="K14" s="63"/>
      <c r="L14" s="63"/>
      <c r="M14" s="63"/>
      <c r="N14" s="63"/>
      <c r="O14" s="63"/>
      <c r="P14" s="63"/>
      <c r="Q14" s="63"/>
      <c r="R14" s="63"/>
      <c r="S14" s="63"/>
      <c r="T14" s="63"/>
      <c r="U14" s="63"/>
      <c r="V14" s="63"/>
      <c r="W14" s="63"/>
      <c r="X14" s="63"/>
      <c r="Y14" s="63"/>
      <c r="Z14" s="63"/>
    </row>
    <row r="15" spans="1:26" ht="12.75" customHeight="1" x14ac:dyDescent="0.2">
      <c r="A15" s="47"/>
      <c r="B15" s="47"/>
      <c r="C15" s="48"/>
      <c r="D15" s="39">
        <v>0</v>
      </c>
      <c r="E15" s="39">
        <v>0</v>
      </c>
      <c r="F15" s="39">
        <v>0</v>
      </c>
      <c r="G15" s="39">
        <v>0</v>
      </c>
      <c r="H15" s="39">
        <f t="shared" si="0"/>
        <v>0</v>
      </c>
      <c r="I15" s="51"/>
      <c r="J15" s="63"/>
      <c r="K15" s="63"/>
      <c r="L15" s="63"/>
      <c r="M15" s="63"/>
      <c r="N15" s="63"/>
      <c r="O15" s="63"/>
      <c r="P15" s="63"/>
      <c r="Q15" s="63"/>
      <c r="R15" s="63"/>
      <c r="S15" s="63"/>
      <c r="T15" s="63"/>
      <c r="U15" s="63"/>
      <c r="V15" s="63"/>
      <c r="W15" s="63"/>
      <c r="X15" s="63"/>
      <c r="Y15" s="63"/>
      <c r="Z15" s="63"/>
    </row>
    <row r="16" spans="1:26" ht="12.75" customHeight="1" x14ac:dyDescent="0.2">
      <c r="A16" s="47"/>
      <c r="B16" s="47"/>
      <c r="C16" s="48"/>
      <c r="D16" s="39">
        <v>0</v>
      </c>
      <c r="E16" s="39">
        <v>0</v>
      </c>
      <c r="F16" s="39">
        <v>0</v>
      </c>
      <c r="G16" s="39">
        <v>0</v>
      </c>
      <c r="H16" s="39">
        <f t="shared" si="0"/>
        <v>0</v>
      </c>
      <c r="I16" s="51"/>
      <c r="J16" s="63"/>
      <c r="K16" s="63"/>
      <c r="L16" s="63"/>
      <c r="M16" s="63"/>
      <c r="N16" s="63"/>
      <c r="O16" s="63"/>
      <c r="P16" s="63"/>
      <c r="Q16" s="63"/>
      <c r="R16" s="63"/>
      <c r="S16" s="63"/>
      <c r="T16" s="63"/>
      <c r="U16" s="63"/>
      <c r="V16" s="63"/>
      <c r="W16" s="63"/>
      <c r="X16" s="63"/>
      <c r="Y16" s="63"/>
      <c r="Z16" s="63"/>
    </row>
    <row r="17" spans="1:26" ht="12.75" customHeight="1" x14ac:dyDescent="0.2">
      <c r="A17" s="47"/>
      <c r="B17" s="47"/>
      <c r="C17" s="48"/>
      <c r="D17" s="39">
        <v>0</v>
      </c>
      <c r="E17" s="39">
        <v>0</v>
      </c>
      <c r="F17" s="39">
        <v>0</v>
      </c>
      <c r="G17" s="39">
        <v>0</v>
      </c>
      <c r="H17" s="39">
        <f t="shared" si="0"/>
        <v>0</v>
      </c>
      <c r="I17" s="51"/>
      <c r="J17" s="63"/>
      <c r="K17" s="63"/>
      <c r="L17" s="63"/>
      <c r="M17" s="63"/>
      <c r="N17" s="63"/>
      <c r="O17" s="63"/>
      <c r="P17" s="63"/>
      <c r="Q17" s="63"/>
      <c r="R17" s="63"/>
      <c r="S17" s="63"/>
      <c r="T17" s="63"/>
      <c r="U17" s="63"/>
      <c r="V17" s="63"/>
      <c r="W17" s="63"/>
      <c r="X17" s="63"/>
      <c r="Y17" s="63"/>
      <c r="Z17" s="63"/>
    </row>
    <row r="18" spans="1:26" ht="12.75" customHeight="1" x14ac:dyDescent="0.2">
      <c r="A18" s="288" t="s">
        <v>124</v>
      </c>
      <c r="B18" s="289"/>
      <c r="C18" s="289"/>
      <c r="D18" s="290"/>
      <c r="E18" s="206">
        <f t="shared" ref="E18:H18" si="1">SUM(E10:E17)</f>
        <v>8000000</v>
      </c>
      <c r="F18" s="206">
        <f t="shared" si="1"/>
        <v>0</v>
      </c>
      <c r="G18" s="206">
        <f t="shared" si="1"/>
        <v>0</v>
      </c>
      <c r="H18" s="206">
        <f t="shared" si="1"/>
        <v>8000000</v>
      </c>
      <c r="I18" s="51"/>
      <c r="J18" s="63"/>
      <c r="K18" s="63"/>
      <c r="L18" s="63"/>
      <c r="M18" s="63"/>
      <c r="N18" s="63"/>
      <c r="O18" s="63"/>
      <c r="P18" s="63"/>
      <c r="Q18" s="63"/>
      <c r="R18" s="63"/>
      <c r="S18" s="63"/>
      <c r="T18" s="63"/>
      <c r="U18" s="63"/>
      <c r="V18" s="63"/>
      <c r="W18" s="63"/>
      <c r="X18" s="63"/>
      <c r="Y18" s="63"/>
      <c r="Z18" s="63"/>
    </row>
    <row r="19" spans="1:26" ht="12.75" customHeight="1" x14ac:dyDescent="0.2">
      <c r="A19" s="52"/>
      <c r="B19" s="52"/>
      <c r="C19" s="52"/>
      <c r="D19" s="52"/>
      <c r="E19" s="51"/>
      <c r="F19" s="51"/>
      <c r="G19" s="51"/>
      <c r="H19" s="51"/>
      <c r="I19" s="51"/>
      <c r="J19" s="63"/>
      <c r="K19" s="63"/>
      <c r="L19" s="63"/>
      <c r="M19" s="63"/>
      <c r="N19" s="63"/>
      <c r="O19" s="63"/>
      <c r="P19" s="63"/>
      <c r="Q19" s="63"/>
      <c r="R19" s="63"/>
      <c r="S19" s="63"/>
      <c r="T19" s="63"/>
      <c r="U19" s="63"/>
      <c r="V19" s="63"/>
      <c r="W19" s="63"/>
      <c r="X19" s="63"/>
      <c r="Y19" s="63"/>
      <c r="Z19" s="63"/>
    </row>
    <row r="20" spans="1:26" ht="12" customHeight="1" x14ac:dyDescent="0.2">
      <c r="A20" s="52"/>
      <c r="B20" s="52"/>
      <c r="C20" s="52"/>
      <c r="D20" s="52"/>
      <c r="E20" s="52"/>
      <c r="F20" s="52"/>
      <c r="G20" s="52"/>
      <c r="H20" s="52"/>
      <c r="I20" s="51"/>
      <c r="J20" s="63"/>
      <c r="K20" s="63"/>
      <c r="L20" s="63"/>
      <c r="M20" s="63"/>
      <c r="N20" s="63"/>
      <c r="O20" s="63"/>
      <c r="P20" s="63"/>
      <c r="Q20" s="63"/>
      <c r="R20" s="63"/>
      <c r="S20" s="63"/>
      <c r="T20" s="63"/>
      <c r="U20" s="63"/>
      <c r="V20" s="63"/>
      <c r="W20" s="63"/>
      <c r="X20" s="63"/>
      <c r="Y20" s="63"/>
      <c r="Z20" s="63"/>
    </row>
    <row r="21" spans="1:26" ht="12.75" customHeight="1" x14ac:dyDescent="0.2">
      <c r="A21" s="74"/>
      <c r="B21" s="51"/>
      <c r="C21" s="51"/>
      <c r="D21" s="51"/>
      <c r="E21" s="51"/>
      <c r="F21" s="51"/>
      <c r="G21" s="51"/>
      <c r="H21" s="51"/>
      <c r="I21" s="51"/>
      <c r="J21" s="63"/>
      <c r="K21" s="63"/>
      <c r="L21" s="63"/>
      <c r="M21" s="63"/>
      <c r="N21" s="63"/>
      <c r="O21" s="63"/>
      <c r="P21" s="63"/>
      <c r="Q21" s="63"/>
      <c r="R21" s="63"/>
      <c r="S21" s="63"/>
      <c r="T21" s="63"/>
      <c r="U21" s="63"/>
      <c r="V21" s="63"/>
      <c r="W21" s="63"/>
      <c r="X21" s="63"/>
      <c r="Y21" s="63"/>
      <c r="Z21" s="63"/>
    </row>
    <row r="22" spans="1:26" ht="12.75" customHeight="1" x14ac:dyDescent="0.2">
      <c r="A22" s="63"/>
      <c r="B22" s="51"/>
      <c r="C22" s="51"/>
      <c r="D22" s="51"/>
      <c r="E22" s="51"/>
      <c r="F22" s="51"/>
      <c r="G22" s="51"/>
      <c r="H22" s="51"/>
      <c r="I22" s="51"/>
      <c r="J22" s="63"/>
      <c r="K22" s="63"/>
      <c r="L22" s="63"/>
      <c r="M22" s="63"/>
      <c r="N22" s="63"/>
      <c r="O22" s="63"/>
      <c r="P22" s="63"/>
      <c r="Q22" s="63"/>
      <c r="R22" s="63"/>
      <c r="S22" s="63"/>
      <c r="T22" s="63"/>
      <c r="U22" s="63"/>
      <c r="V22" s="63"/>
      <c r="W22" s="63"/>
      <c r="X22" s="63"/>
      <c r="Y22" s="63"/>
      <c r="Z22" s="63"/>
    </row>
    <row r="23" spans="1:26" ht="12.75" customHeight="1" x14ac:dyDescent="0.2">
      <c r="A23" s="63"/>
      <c r="B23" s="51"/>
      <c r="C23" s="51"/>
      <c r="D23" s="51"/>
      <c r="E23" s="51"/>
      <c r="F23" s="51"/>
      <c r="G23" s="51"/>
      <c r="H23" s="51"/>
      <c r="I23" s="51"/>
      <c r="J23" s="63"/>
      <c r="K23" s="63"/>
      <c r="L23" s="63"/>
      <c r="M23" s="63"/>
      <c r="N23" s="63"/>
      <c r="O23" s="63"/>
      <c r="P23" s="63"/>
      <c r="Q23" s="63"/>
      <c r="R23" s="63"/>
      <c r="S23" s="63"/>
      <c r="T23" s="63"/>
      <c r="U23" s="63"/>
      <c r="V23" s="63"/>
      <c r="W23" s="63"/>
      <c r="X23" s="63"/>
      <c r="Y23" s="63"/>
      <c r="Z23" s="63"/>
    </row>
    <row r="24" spans="1:26" ht="12.75" customHeight="1" x14ac:dyDescent="0.2">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spans="1:26" ht="12.75" customHeight="1" x14ac:dyDescent="0.2">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spans="1:26" ht="12.75" customHeight="1" x14ac:dyDescent="0.2">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spans="1:26" ht="12.75" customHeight="1" x14ac:dyDescent="0.2">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spans="1:26" ht="12.75" customHeight="1" x14ac:dyDescent="0.2">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spans="1:26" ht="12.75" customHeight="1" x14ac:dyDescent="0.2">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spans="1:26" ht="12.75" customHeight="1" x14ac:dyDescent="0.2">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spans="1:26" ht="12.75" customHeight="1" x14ac:dyDescent="0.2">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spans="1:26" ht="12.75" customHeight="1" x14ac:dyDescent="0.2">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spans="1:26" ht="12.75" customHeight="1" x14ac:dyDescent="0.2">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spans="1:26" ht="12.75" customHeight="1" x14ac:dyDescent="0.2">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spans="1:26" ht="12.75" customHeight="1" x14ac:dyDescent="0.2">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spans="1:26" ht="12.75" customHeight="1" x14ac:dyDescent="0.2">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spans="1:26" ht="12.75" customHeight="1" x14ac:dyDescent="0.2">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spans="1:26" ht="12.75" customHeight="1" x14ac:dyDescent="0.2">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spans="1:26" ht="12.75" customHeight="1" x14ac:dyDescent="0.2">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spans="1:26" ht="12.75" customHeight="1" x14ac:dyDescent="0.2">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spans="1:26" ht="12.75" customHeight="1" x14ac:dyDescent="0.2">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spans="1:26" ht="12.75" customHeight="1" x14ac:dyDescent="0.2">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spans="1:26" ht="12.75" customHeight="1" x14ac:dyDescent="0.2">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spans="1:26" ht="12.75" customHeight="1" x14ac:dyDescent="0.2">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spans="1:26" ht="12.75" customHeight="1" x14ac:dyDescent="0.2">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spans="1:26" ht="12.75" customHeight="1" x14ac:dyDescent="0.2">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spans="1:26" ht="12.75" customHeight="1" x14ac:dyDescent="0.2">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spans="1:26" ht="12.75" customHeight="1" x14ac:dyDescent="0.2">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spans="1:26" ht="12.75" customHeight="1" x14ac:dyDescent="0.2">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spans="1:26" ht="12.75" customHeight="1" x14ac:dyDescent="0.2">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spans="1:26" ht="12.75" customHeight="1" x14ac:dyDescent="0.2">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spans="1:26" ht="12.75" customHeight="1" x14ac:dyDescent="0.2">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spans="1:26" ht="12.75" customHeight="1" x14ac:dyDescent="0.2">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spans="1:26" ht="12.75" customHeight="1" x14ac:dyDescent="0.2">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spans="1:26" ht="12.75" customHeight="1" x14ac:dyDescent="0.2">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spans="1:26" ht="12.75" customHeight="1" x14ac:dyDescent="0.2">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spans="1:26" ht="12.75" customHeight="1" x14ac:dyDescent="0.2">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spans="1:26" ht="12.75" customHeight="1" x14ac:dyDescent="0.2">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spans="1:26" ht="12.75" customHeight="1" x14ac:dyDescent="0.2">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spans="1:26" ht="12.75" customHeight="1" x14ac:dyDescent="0.2">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spans="1:26" ht="12.75" customHeight="1" x14ac:dyDescent="0.2">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spans="1:26" ht="12.75" customHeight="1" x14ac:dyDescent="0.2">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spans="1:26" ht="12.75" customHeight="1" x14ac:dyDescent="0.2">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spans="1:26" ht="12.75" customHeight="1" x14ac:dyDescent="0.2">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spans="1:26" ht="12.75" customHeight="1" x14ac:dyDescent="0.2">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spans="1:26" ht="12.75" customHeight="1" x14ac:dyDescent="0.2">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spans="1:26" ht="12.75" customHeight="1" x14ac:dyDescent="0.2">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spans="1:26" ht="12.75" customHeight="1" x14ac:dyDescent="0.2">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spans="1:26" ht="12.75" customHeight="1" x14ac:dyDescent="0.2">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spans="1:26" ht="12.75" customHeight="1" x14ac:dyDescent="0.2">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spans="1:26" ht="12.75" customHeight="1" x14ac:dyDescent="0.2">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spans="1:26" ht="12.75" customHeight="1" x14ac:dyDescent="0.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spans="1:26" ht="12.75" customHeight="1" x14ac:dyDescent="0.2">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spans="1:26" ht="12.75" customHeight="1" x14ac:dyDescent="0.2">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spans="1:26" ht="12.75" customHeight="1" x14ac:dyDescent="0.2">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spans="1:26" ht="12.75" customHeight="1" x14ac:dyDescent="0.2">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spans="1:26" ht="12.75" customHeight="1" x14ac:dyDescent="0.2">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spans="1:26" ht="12.75" customHeight="1" x14ac:dyDescent="0.2">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spans="1:26" ht="12.75" customHeight="1" x14ac:dyDescent="0.2">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spans="1:26" ht="12.75" customHeight="1" x14ac:dyDescent="0.2">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spans="1:26" ht="12.75" customHeight="1" x14ac:dyDescent="0.2">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spans="1:26" ht="12.75" customHeight="1" x14ac:dyDescent="0.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spans="1:26" ht="12.75" customHeight="1" x14ac:dyDescent="0.2">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spans="1:26" ht="12.75" customHeight="1" x14ac:dyDescent="0.2">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spans="1:26" ht="12.75" customHeight="1" x14ac:dyDescent="0.2">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spans="1:26" ht="12.75" customHeight="1" x14ac:dyDescent="0.2">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spans="1:26" ht="12.75" customHeight="1" x14ac:dyDescent="0.2">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spans="1:26" ht="12.75" customHeight="1" x14ac:dyDescent="0.2">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spans="1:26" ht="12.75" customHeight="1" x14ac:dyDescent="0.2">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spans="1:26" ht="12.75" customHeight="1" x14ac:dyDescent="0.2">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spans="1:26" ht="12.75" customHeight="1" x14ac:dyDescent="0.2">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spans="1:26" ht="12.75" customHeight="1" x14ac:dyDescent="0.2">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spans="1:26" ht="12.75" customHeight="1" x14ac:dyDescent="0.2">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spans="1:26" ht="12.75" customHeight="1" x14ac:dyDescent="0.2">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spans="1:26" ht="12.75" customHeight="1" x14ac:dyDescent="0.2">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spans="1:26" ht="12.75" customHeight="1" x14ac:dyDescent="0.2">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spans="1:26" ht="12.75" customHeight="1" x14ac:dyDescent="0.2">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spans="1:26" ht="12.75" customHeight="1" x14ac:dyDescent="0.2">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spans="1:26" ht="12.75" customHeight="1" x14ac:dyDescent="0.2">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spans="1:26" ht="12.75" customHeight="1" x14ac:dyDescent="0.2">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spans="1:26" ht="12.75" customHeight="1" x14ac:dyDescent="0.2">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spans="1:26" ht="12.75" customHeight="1" x14ac:dyDescent="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spans="1:26" ht="12.75" customHeight="1" x14ac:dyDescent="0.2">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spans="1:26" ht="12.75" customHeight="1" x14ac:dyDescent="0.2">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spans="1:26" ht="12.75" customHeight="1" x14ac:dyDescent="0.2">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spans="1:26" ht="12.75" customHeight="1" x14ac:dyDescent="0.2">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spans="1:26" ht="12.75" customHeight="1" x14ac:dyDescent="0.2">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spans="1:26" ht="12.75" customHeight="1" x14ac:dyDescent="0.2">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spans="1:26" ht="12.75" customHeight="1" x14ac:dyDescent="0.2">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spans="1:26" ht="12.75" customHeight="1" x14ac:dyDescent="0.2">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spans="1:26" ht="12.75" customHeight="1" x14ac:dyDescent="0.2">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spans="1:26" ht="12.75" customHeight="1" x14ac:dyDescent="0.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spans="1:26" ht="12.75" customHeight="1" x14ac:dyDescent="0.2">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spans="1:26" ht="12.75" customHeight="1" x14ac:dyDescent="0.2">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spans="1:26" ht="12.75" customHeight="1" x14ac:dyDescent="0.2">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spans="1:26" ht="12.75" customHeight="1" x14ac:dyDescent="0.2">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spans="1:26" ht="12.75" customHeight="1" x14ac:dyDescent="0.2">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spans="1:26" ht="12.75" customHeight="1" x14ac:dyDescent="0.2">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spans="1:26" ht="12.75" customHeight="1" x14ac:dyDescent="0.2">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spans="1:26" ht="12.75" customHeight="1" x14ac:dyDescent="0.2">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spans="1:26" ht="12.75" customHeight="1" x14ac:dyDescent="0.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spans="1:26" ht="12.75" customHeight="1" x14ac:dyDescent="0.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spans="1:26" ht="12.75" customHeight="1" x14ac:dyDescent="0.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spans="1:26" ht="12.75" customHeight="1" x14ac:dyDescent="0.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spans="1:26" ht="12.75" customHeight="1" x14ac:dyDescent="0.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spans="1:26" ht="12.75" customHeight="1" x14ac:dyDescent="0.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spans="1:26" ht="12.75" customHeight="1" x14ac:dyDescent="0.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spans="1:26" ht="12.75" customHeight="1" x14ac:dyDescent="0.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spans="1:26" ht="12.75" customHeight="1" x14ac:dyDescent="0.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spans="1:26" ht="12.75" customHeight="1" x14ac:dyDescent="0.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spans="1:26" ht="12.75" customHeight="1" x14ac:dyDescent="0.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spans="1:26" ht="12.75" customHeight="1" x14ac:dyDescent="0.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spans="1:26" ht="12.75" customHeight="1" x14ac:dyDescent="0.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spans="1:26" ht="12.75" customHeight="1" x14ac:dyDescent="0.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spans="1:26" ht="12.75" customHeight="1" x14ac:dyDescent="0.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spans="1:26" ht="12.75" customHeight="1" x14ac:dyDescent="0.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spans="1:26" ht="12.75" customHeight="1" x14ac:dyDescent="0.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spans="1:26" ht="12.75" customHeight="1" x14ac:dyDescent="0.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spans="1:26" ht="12.75" customHeight="1" x14ac:dyDescent="0.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spans="1:26" ht="12.75" customHeight="1" x14ac:dyDescent="0.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spans="1:26" ht="12.75" customHeight="1" x14ac:dyDescent="0.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spans="1:26" ht="12.75" customHeight="1" x14ac:dyDescent="0.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spans="1:26" ht="12.75" customHeight="1" x14ac:dyDescent="0.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spans="1:26" ht="12.75" customHeight="1" x14ac:dyDescent="0.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spans="1:26" ht="12.75" customHeight="1" x14ac:dyDescent="0.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spans="1:26" ht="12.75" customHeight="1" x14ac:dyDescent="0.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spans="1:26" ht="12.75" customHeight="1" x14ac:dyDescent="0.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spans="1:26" ht="12.75" customHeight="1" x14ac:dyDescent="0.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spans="1:26" ht="12.75" customHeight="1" x14ac:dyDescent="0.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spans="1:26" ht="12.75" customHeight="1" x14ac:dyDescent="0.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spans="1:26" ht="12.75" customHeight="1" x14ac:dyDescent="0.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spans="1:26" ht="12.75" customHeight="1" x14ac:dyDescent="0.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spans="1:26" ht="12.75" customHeight="1" x14ac:dyDescent="0.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spans="1:26" ht="12.75" customHeight="1" x14ac:dyDescent="0.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spans="1:26" ht="12.75" customHeight="1" x14ac:dyDescent="0.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spans="1:26" ht="12.75" customHeight="1" x14ac:dyDescent="0.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spans="1:26" ht="12.75" customHeight="1" x14ac:dyDescent="0.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spans="1:26" ht="12.75" customHeight="1" x14ac:dyDescent="0.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spans="1:26" ht="12.75" customHeight="1" x14ac:dyDescent="0.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spans="1:26" ht="12.75" customHeight="1" x14ac:dyDescent="0.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spans="1:26" ht="12.75" customHeight="1" x14ac:dyDescent="0.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spans="1:26" ht="12.75" customHeight="1" x14ac:dyDescent="0.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spans="1:26" ht="12.75" customHeight="1" x14ac:dyDescent="0.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spans="1:26" ht="12.75" customHeight="1" x14ac:dyDescent="0.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spans="1:26" ht="12.75" customHeight="1" x14ac:dyDescent="0.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spans="1:26" ht="12.75" customHeight="1" x14ac:dyDescent="0.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spans="1:26" ht="12.75" customHeight="1" x14ac:dyDescent="0.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spans="1:26" ht="12.75" customHeight="1" x14ac:dyDescent="0.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spans="1:26" ht="12.75" customHeight="1" x14ac:dyDescent="0.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spans="1:26" ht="12.75" customHeight="1" x14ac:dyDescent="0.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spans="1:26" ht="12.75" customHeight="1" x14ac:dyDescent="0.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spans="1:26" ht="12.75" customHeight="1" x14ac:dyDescent="0.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spans="1:26" ht="12.75" customHeight="1" x14ac:dyDescent="0.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spans="1:26" ht="12.75" customHeight="1" x14ac:dyDescent="0.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spans="1:26" ht="12.75" customHeight="1" x14ac:dyDescent="0.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spans="1:26" ht="12.75" customHeight="1" x14ac:dyDescent="0.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spans="1:26" ht="12.75" customHeight="1" x14ac:dyDescent="0.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spans="1:26" ht="12.75" customHeight="1" x14ac:dyDescent="0.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spans="1:26" ht="12.75" customHeight="1" x14ac:dyDescent="0.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spans="1:26" ht="12.75" customHeight="1" x14ac:dyDescent="0.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spans="1:26" ht="12.75" customHeight="1" x14ac:dyDescent="0.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spans="1:26" ht="12.75" customHeight="1" x14ac:dyDescent="0.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spans="1:26" ht="12.75" customHeight="1" x14ac:dyDescent="0.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spans="1:26" ht="12.75" customHeight="1" x14ac:dyDescent="0.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spans="1:26" ht="12.75" customHeight="1" x14ac:dyDescent="0.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spans="1:26" ht="12.75" customHeight="1" x14ac:dyDescent="0.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spans="1:26" ht="12.75" customHeight="1" x14ac:dyDescent="0.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spans="1:26" ht="12.75" customHeight="1" x14ac:dyDescent="0.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spans="1:26" ht="12.75" customHeight="1" x14ac:dyDescent="0.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spans="1:26" ht="12.75" customHeight="1" x14ac:dyDescent="0.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spans="1:26" ht="12.75" customHeight="1" x14ac:dyDescent="0.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spans="1:26" ht="12.75" customHeight="1" x14ac:dyDescent="0.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spans="1:26" ht="12.75" customHeight="1" x14ac:dyDescent="0.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spans="1:26" ht="12.75" customHeight="1" x14ac:dyDescent="0.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spans="1:26" ht="12.75" customHeight="1" x14ac:dyDescent="0.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spans="1:26" ht="12.75" customHeight="1" x14ac:dyDescent="0.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spans="1:26" ht="12.75" customHeight="1" x14ac:dyDescent="0.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spans="1:26" ht="12.75" customHeight="1" x14ac:dyDescent="0.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spans="1:26" ht="12.75" customHeight="1" x14ac:dyDescent="0.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spans="1:26" ht="12.75" customHeight="1" x14ac:dyDescent="0.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spans="1:26" ht="12.75" customHeight="1" x14ac:dyDescent="0.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1:26" ht="12.75" customHeight="1" x14ac:dyDescent="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1:26" ht="12.75" customHeight="1" x14ac:dyDescent="0.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2.75" customHeight="1" x14ac:dyDescent="0.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2.75" customHeight="1" x14ac:dyDescent="0.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2.75" customHeight="1" x14ac:dyDescent="0.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2.75" customHeight="1" x14ac:dyDescent="0.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2.75" customHeight="1" x14ac:dyDescent="0.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2.75" customHeight="1" x14ac:dyDescent="0.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2.75" customHeight="1" x14ac:dyDescent="0.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2.75" customHeight="1" x14ac:dyDescent="0.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2.75" customHeight="1" x14ac:dyDescent="0.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2.75" customHeight="1" x14ac:dyDescent="0.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2.75" customHeight="1" x14ac:dyDescent="0.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2.75" customHeight="1" x14ac:dyDescent="0.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2.75" customHeight="1" x14ac:dyDescent="0.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2.75" customHeight="1" x14ac:dyDescent="0.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2.75" customHeight="1" x14ac:dyDescent="0.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2.75" customHeight="1" x14ac:dyDescent="0.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2.75" customHeight="1" x14ac:dyDescent="0.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2.75" customHeight="1" x14ac:dyDescent="0.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2.75" customHeight="1" x14ac:dyDescent="0.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2.75" customHeight="1" x14ac:dyDescent="0.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2.75" customHeight="1" x14ac:dyDescent="0.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2.75" customHeight="1" x14ac:dyDescent="0.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2.75" customHeight="1" x14ac:dyDescent="0.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2.75" customHeight="1" x14ac:dyDescent="0.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2.75" customHeight="1" x14ac:dyDescent="0.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2.75" customHeight="1" x14ac:dyDescent="0.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2.75" customHeight="1" x14ac:dyDescent="0.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2.75" customHeight="1" x14ac:dyDescent="0.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2.75" customHeight="1" x14ac:dyDescent="0.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2.75" customHeight="1" x14ac:dyDescent="0.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2.75" customHeight="1" x14ac:dyDescent="0.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2.75" customHeight="1" x14ac:dyDescent="0.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2.75" customHeight="1" x14ac:dyDescent="0.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2.75" customHeight="1" x14ac:dyDescent="0.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2.75" customHeight="1" x14ac:dyDescent="0.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2.75" customHeight="1" x14ac:dyDescent="0.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2.75" customHeight="1" x14ac:dyDescent="0.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2.75" customHeight="1" x14ac:dyDescent="0.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2.75" customHeight="1" x14ac:dyDescent="0.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2.75" customHeight="1" x14ac:dyDescent="0.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2.75" customHeight="1" x14ac:dyDescent="0.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2.75" customHeight="1" x14ac:dyDescent="0.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2.75" customHeight="1" x14ac:dyDescent="0.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2.75" customHeight="1" x14ac:dyDescent="0.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2.75" customHeight="1" x14ac:dyDescent="0.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2.75" customHeight="1" x14ac:dyDescent="0.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2.75" customHeight="1" x14ac:dyDescent="0.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2.75" customHeight="1" x14ac:dyDescent="0.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2.75" customHeight="1" x14ac:dyDescent="0.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2.75" customHeight="1" x14ac:dyDescent="0.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2.75" customHeight="1" x14ac:dyDescent="0.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2.75" customHeight="1" x14ac:dyDescent="0.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2.75" customHeight="1" x14ac:dyDescent="0.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2.75" customHeight="1" x14ac:dyDescent="0.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2.75" customHeight="1" x14ac:dyDescent="0.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2.75" customHeight="1" x14ac:dyDescent="0.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2.75" customHeight="1" x14ac:dyDescent="0.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2.75" customHeight="1" x14ac:dyDescent="0.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2.75" customHeight="1" x14ac:dyDescent="0.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2.75" customHeight="1" x14ac:dyDescent="0.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2.75" customHeight="1" x14ac:dyDescent="0.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2.75" customHeight="1" x14ac:dyDescent="0.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2.75" customHeight="1" x14ac:dyDescent="0.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2.75" customHeight="1" x14ac:dyDescent="0.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2.75" customHeight="1" x14ac:dyDescent="0.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2.75" customHeight="1" x14ac:dyDescent="0.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2.75" customHeight="1" x14ac:dyDescent="0.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2.75" customHeight="1" x14ac:dyDescent="0.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2.75" customHeight="1" x14ac:dyDescent="0.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2.75" customHeight="1" x14ac:dyDescent="0.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2.75" customHeight="1" x14ac:dyDescent="0.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2.75" customHeight="1" x14ac:dyDescent="0.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2.75" customHeight="1" x14ac:dyDescent="0.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2.75" customHeight="1" x14ac:dyDescent="0.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2.75" customHeight="1" x14ac:dyDescent="0.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2.75" customHeight="1" x14ac:dyDescent="0.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2.75" customHeight="1" x14ac:dyDescent="0.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2.75" customHeight="1" x14ac:dyDescent="0.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2.75" customHeight="1" x14ac:dyDescent="0.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2.75" customHeight="1" x14ac:dyDescent="0.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2.75" customHeight="1" x14ac:dyDescent="0.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2.75" customHeight="1" x14ac:dyDescent="0.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2.75" customHeight="1" x14ac:dyDescent="0.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2.75" customHeight="1" x14ac:dyDescent="0.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2.75" customHeight="1" x14ac:dyDescent="0.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2.75" customHeight="1" x14ac:dyDescent="0.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2.75" customHeight="1" x14ac:dyDescent="0.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2.75" customHeight="1" x14ac:dyDescent="0.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2.75" customHeight="1" x14ac:dyDescent="0.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2.75" customHeight="1" x14ac:dyDescent="0.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2.75" customHeight="1" x14ac:dyDescent="0.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2.75" customHeight="1" x14ac:dyDescent="0.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2.75" customHeight="1" x14ac:dyDescent="0.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2.75" customHeight="1" x14ac:dyDescent="0.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2.75" customHeight="1" x14ac:dyDescent="0.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2.75" customHeight="1" x14ac:dyDescent="0.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2.75" customHeight="1" x14ac:dyDescent="0.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2.75" customHeight="1" x14ac:dyDescent="0.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2.75" customHeight="1" x14ac:dyDescent="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2.75" customHeight="1" x14ac:dyDescent="0.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2.75" customHeight="1" x14ac:dyDescent="0.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2.75" customHeight="1" x14ac:dyDescent="0.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2.75" customHeight="1" x14ac:dyDescent="0.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2.75" customHeight="1" x14ac:dyDescent="0.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2.75" customHeight="1" x14ac:dyDescent="0.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2.75" customHeight="1" x14ac:dyDescent="0.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2.75" customHeight="1" x14ac:dyDescent="0.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2.75" customHeight="1" x14ac:dyDescent="0.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2.75" customHeight="1" x14ac:dyDescent="0.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2.75" customHeight="1" x14ac:dyDescent="0.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2.75" customHeight="1" x14ac:dyDescent="0.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2.75" customHeight="1" x14ac:dyDescent="0.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2.75" customHeight="1" x14ac:dyDescent="0.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2.75" customHeight="1" x14ac:dyDescent="0.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2.75" customHeight="1" x14ac:dyDescent="0.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2.75" customHeight="1" x14ac:dyDescent="0.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2.75" customHeight="1" x14ac:dyDescent="0.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2.75" customHeight="1" x14ac:dyDescent="0.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2.75" customHeight="1" x14ac:dyDescent="0.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2.75" customHeight="1" x14ac:dyDescent="0.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2.75" customHeight="1" x14ac:dyDescent="0.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2.75" customHeight="1" x14ac:dyDescent="0.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2.75" customHeight="1" x14ac:dyDescent="0.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2.75" customHeight="1" x14ac:dyDescent="0.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2.75" customHeight="1" x14ac:dyDescent="0.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2.75" customHeight="1" x14ac:dyDescent="0.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2.75" customHeight="1" x14ac:dyDescent="0.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2.75" customHeight="1" x14ac:dyDescent="0.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2.75" customHeight="1" x14ac:dyDescent="0.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2.75" customHeight="1" x14ac:dyDescent="0.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2.75" customHeight="1" x14ac:dyDescent="0.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2.75" customHeight="1" x14ac:dyDescent="0.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2.75" customHeight="1" x14ac:dyDescent="0.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2.75" customHeight="1" x14ac:dyDescent="0.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2.75" customHeight="1" x14ac:dyDescent="0.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2.75" customHeight="1" x14ac:dyDescent="0.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2.75" customHeight="1" x14ac:dyDescent="0.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2.75" customHeight="1" x14ac:dyDescent="0.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2.75" customHeight="1" x14ac:dyDescent="0.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2.75" customHeight="1" x14ac:dyDescent="0.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2.75" customHeight="1" x14ac:dyDescent="0.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2.75" customHeight="1" x14ac:dyDescent="0.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2.75" customHeight="1" x14ac:dyDescent="0.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2.75" customHeight="1" x14ac:dyDescent="0.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2.75" customHeight="1" x14ac:dyDescent="0.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2.75" customHeight="1" x14ac:dyDescent="0.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2.75" customHeight="1" x14ac:dyDescent="0.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2.75" customHeight="1" x14ac:dyDescent="0.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2.75" customHeight="1" x14ac:dyDescent="0.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2.75" customHeight="1" x14ac:dyDescent="0.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2.75" customHeight="1" x14ac:dyDescent="0.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2.75" customHeight="1" x14ac:dyDescent="0.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2.75" customHeight="1" x14ac:dyDescent="0.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2.75" customHeight="1" x14ac:dyDescent="0.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2.75" customHeight="1" x14ac:dyDescent="0.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2.75" customHeight="1" x14ac:dyDescent="0.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2.75" customHeight="1" x14ac:dyDescent="0.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2.75" customHeight="1" x14ac:dyDescent="0.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2.75" customHeight="1" x14ac:dyDescent="0.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2.75" customHeight="1" x14ac:dyDescent="0.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2.75" customHeight="1" x14ac:dyDescent="0.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2.75" customHeight="1" x14ac:dyDescent="0.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2.75" customHeight="1" x14ac:dyDescent="0.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2.75" customHeight="1" x14ac:dyDescent="0.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2.75" customHeight="1" x14ac:dyDescent="0.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2.75" customHeight="1" x14ac:dyDescent="0.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2.75" customHeight="1" x14ac:dyDescent="0.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2.75" customHeight="1" x14ac:dyDescent="0.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2.75" customHeight="1" x14ac:dyDescent="0.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2.75" customHeight="1" x14ac:dyDescent="0.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2.75" customHeight="1" x14ac:dyDescent="0.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2.75" customHeight="1" x14ac:dyDescent="0.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2.75" customHeight="1" x14ac:dyDescent="0.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2.75" customHeight="1" x14ac:dyDescent="0.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2.75" customHeight="1" x14ac:dyDescent="0.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2.75" customHeight="1" x14ac:dyDescent="0.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2.75" customHeight="1" x14ac:dyDescent="0.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2.75" customHeight="1" x14ac:dyDescent="0.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2.75" customHeight="1" x14ac:dyDescent="0.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2.75" customHeight="1" x14ac:dyDescent="0.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2.75" customHeight="1" x14ac:dyDescent="0.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2.75" customHeight="1" x14ac:dyDescent="0.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2.75" customHeight="1" x14ac:dyDescent="0.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2.75" customHeight="1" x14ac:dyDescent="0.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2.75" customHeight="1" x14ac:dyDescent="0.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2.75" customHeight="1" x14ac:dyDescent="0.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2.75" customHeight="1" x14ac:dyDescent="0.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2.75" customHeight="1" x14ac:dyDescent="0.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2.75" customHeight="1" x14ac:dyDescent="0.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2.75" customHeight="1" x14ac:dyDescent="0.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2.75" customHeight="1" x14ac:dyDescent="0.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2.75" customHeight="1" x14ac:dyDescent="0.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2.75" customHeight="1" x14ac:dyDescent="0.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2.75" customHeight="1" x14ac:dyDescent="0.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2.75" customHeight="1" x14ac:dyDescent="0.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2.75" customHeight="1" x14ac:dyDescent="0.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2.75" customHeight="1" x14ac:dyDescent="0.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2.75" customHeight="1" x14ac:dyDescent="0.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2.75" customHeight="1" x14ac:dyDescent="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2.75" customHeight="1" x14ac:dyDescent="0.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2.75" customHeight="1" x14ac:dyDescent="0.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2.75" customHeight="1" x14ac:dyDescent="0.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2.75" customHeight="1" x14ac:dyDescent="0.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2.75" customHeight="1" x14ac:dyDescent="0.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2.75" customHeight="1" x14ac:dyDescent="0.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2.75" customHeight="1" x14ac:dyDescent="0.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2.75" customHeight="1" x14ac:dyDescent="0.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2.75" customHeight="1" x14ac:dyDescent="0.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2.75" customHeight="1" x14ac:dyDescent="0.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2.75" customHeight="1" x14ac:dyDescent="0.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2.75" customHeight="1" x14ac:dyDescent="0.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2.75" customHeight="1" x14ac:dyDescent="0.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2.75" customHeight="1" x14ac:dyDescent="0.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2.75" customHeight="1" x14ac:dyDescent="0.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2.75" customHeight="1" x14ac:dyDescent="0.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2.75" customHeight="1" x14ac:dyDescent="0.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2.75" customHeight="1" x14ac:dyDescent="0.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2.75" customHeight="1" x14ac:dyDescent="0.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2.75" customHeight="1" x14ac:dyDescent="0.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2.75" customHeight="1" x14ac:dyDescent="0.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2.75" customHeight="1" x14ac:dyDescent="0.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2.75" customHeight="1" x14ac:dyDescent="0.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2.75" customHeight="1" x14ac:dyDescent="0.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2.75" customHeight="1" x14ac:dyDescent="0.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2.75" customHeight="1" x14ac:dyDescent="0.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2.75" customHeight="1" x14ac:dyDescent="0.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2.75" customHeight="1" x14ac:dyDescent="0.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2.75" customHeight="1" x14ac:dyDescent="0.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2.75" customHeight="1" x14ac:dyDescent="0.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2.75" customHeight="1" x14ac:dyDescent="0.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2.75" customHeight="1" x14ac:dyDescent="0.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2.75" customHeight="1" x14ac:dyDescent="0.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2.75" customHeight="1" x14ac:dyDescent="0.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2.75" customHeight="1" x14ac:dyDescent="0.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2.75" customHeight="1" x14ac:dyDescent="0.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2.75" customHeight="1" x14ac:dyDescent="0.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2.75" customHeight="1" x14ac:dyDescent="0.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2.75" customHeight="1" x14ac:dyDescent="0.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2.75" customHeight="1" x14ac:dyDescent="0.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2.75" customHeight="1" x14ac:dyDescent="0.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2.75" customHeight="1" x14ac:dyDescent="0.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2.75" customHeight="1" x14ac:dyDescent="0.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2.75" customHeight="1" x14ac:dyDescent="0.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2.75" customHeight="1" x14ac:dyDescent="0.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2.75" customHeight="1" x14ac:dyDescent="0.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2.75" customHeight="1" x14ac:dyDescent="0.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2.75" customHeight="1" x14ac:dyDescent="0.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2.75" customHeight="1" x14ac:dyDescent="0.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2.75" customHeight="1" x14ac:dyDescent="0.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2.75" customHeight="1" x14ac:dyDescent="0.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2.75" customHeight="1" x14ac:dyDescent="0.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2.75" customHeight="1" x14ac:dyDescent="0.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2.75" customHeight="1" x14ac:dyDescent="0.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2.75" customHeight="1" x14ac:dyDescent="0.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2.75" customHeight="1" x14ac:dyDescent="0.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2.75" customHeight="1" x14ac:dyDescent="0.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2.75" customHeight="1" x14ac:dyDescent="0.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2.75" customHeight="1" x14ac:dyDescent="0.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2.75" customHeight="1" x14ac:dyDescent="0.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2.75" customHeight="1" x14ac:dyDescent="0.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2.75" customHeight="1" x14ac:dyDescent="0.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2.75" customHeight="1" x14ac:dyDescent="0.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2.75" customHeight="1" x14ac:dyDescent="0.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2.75" customHeight="1" x14ac:dyDescent="0.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2.75" customHeight="1" x14ac:dyDescent="0.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2.75" customHeight="1" x14ac:dyDescent="0.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2.75" customHeight="1" x14ac:dyDescent="0.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2.75" customHeight="1" x14ac:dyDescent="0.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2.75" customHeight="1" x14ac:dyDescent="0.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2.75" customHeight="1" x14ac:dyDescent="0.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2.75" customHeight="1" x14ac:dyDescent="0.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2.75" customHeight="1" x14ac:dyDescent="0.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2.75" customHeight="1" x14ac:dyDescent="0.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2.75" customHeight="1" x14ac:dyDescent="0.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2.75" customHeight="1" x14ac:dyDescent="0.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2.75" customHeight="1" x14ac:dyDescent="0.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2.75" customHeight="1" x14ac:dyDescent="0.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2.75" customHeight="1" x14ac:dyDescent="0.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2.75" customHeight="1" x14ac:dyDescent="0.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2.75" customHeight="1" x14ac:dyDescent="0.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2.75" customHeight="1" x14ac:dyDescent="0.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2.75" customHeight="1" x14ac:dyDescent="0.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2.75" customHeight="1" x14ac:dyDescent="0.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2.75" customHeight="1" x14ac:dyDescent="0.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2.75" customHeight="1" x14ac:dyDescent="0.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2.75" customHeight="1" x14ac:dyDescent="0.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2.75" customHeight="1" x14ac:dyDescent="0.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2.75" customHeight="1" x14ac:dyDescent="0.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2.75" customHeight="1" x14ac:dyDescent="0.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2.75" customHeight="1" x14ac:dyDescent="0.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2.75" customHeight="1" x14ac:dyDescent="0.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2.75" customHeight="1" x14ac:dyDescent="0.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2.75" customHeight="1" x14ac:dyDescent="0.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2.75" customHeight="1" x14ac:dyDescent="0.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2.75" customHeight="1" x14ac:dyDescent="0.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2.75" customHeight="1" x14ac:dyDescent="0.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2.75" customHeight="1" x14ac:dyDescent="0.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2.75" customHeight="1" x14ac:dyDescent="0.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2.75" customHeight="1" x14ac:dyDescent="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2.75" customHeight="1" x14ac:dyDescent="0.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2.75" customHeight="1" x14ac:dyDescent="0.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2.75" customHeight="1" x14ac:dyDescent="0.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2.75" customHeight="1" x14ac:dyDescent="0.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2.75" customHeight="1" x14ac:dyDescent="0.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2.75" customHeight="1" x14ac:dyDescent="0.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2.75" customHeight="1" x14ac:dyDescent="0.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2.75" customHeight="1" x14ac:dyDescent="0.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2.75" customHeight="1" x14ac:dyDescent="0.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2.75" customHeight="1" x14ac:dyDescent="0.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2.75" customHeight="1" x14ac:dyDescent="0.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2.75" customHeight="1" x14ac:dyDescent="0.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2.75" customHeight="1" x14ac:dyDescent="0.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2.75" customHeight="1" x14ac:dyDescent="0.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2.75" customHeight="1" x14ac:dyDescent="0.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2.75" customHeight="1" x14ac:dyDescent="0.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2.75" customHeight="1" x14ac:dyDescent="0.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2.75" customHeight="1" x14ac:dyDescent="0.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2.75" customHeight="1" x14ac:dyDescent="0.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2.75" customHeight="1" x14ac:dyDescent="0.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2.75" customHeight="1" x14ac:dyDescent="0.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2.75" customHeight="1" x14ac:dyDescent="0.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2.75" customHeight="1" x14ac:dyDescent="0.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2.75" customHeight="1" x14ac:dyDescent="0.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2.75" customHeight="1" x14ac:dyDescent="0.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2.75" customHeight="1" x14ac:dyDescent="0.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2.75" customHeight="1" x14ac:dyDescent="0.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2.75" customHeight="1" x14ac:dyDescent="0.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2.75" customHeight="1" x14ac:dyDescent="0.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2.75" customHeight="1" x14ac:dyDescent="0.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2.75" customHeight="1" x14ac:dyDescent="0.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2.75" customHeight="1" x14ac:dyDescent="0.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2.75" customHeight="1" x14ac:dyDescent="0.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2.75" customHeight="1" x14ac:dyDescent="0.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2.75" customHeight="1" x14ac:dyDescent="0.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2.75" customHeight="1" x14ac:dyDescent="0.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2.75" customHeight="1" x14ac:dyDescent="0.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2.75" customHeight="1" x14ac:dyDescent="0.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2.75" customHeight="1" x14ac:dyDescent="0.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2.75" customHeight="1" x14ac:dyDescent="0.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2.75" customHeight="1" x14ac:dyDescent="0.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2.75" customHeight="1" x14ac:dyDescent="0.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2.75" customHeight="1" x14ac:dyDescent="0.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2.75" customHeight="1" x14ac:dyDescent="0.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2.75" customHeight="1" x14ac:dyDescent="0.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2.75" customHeight="1" x14ac:dyDescent="0.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2.75" customHeight="1" x14ac:dyDescent="0.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2.75" customHeight="1" x14ac:dyDescent="0.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2.75" customHeight="1" x14ac:dyDescent="0.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2.75" customHeight="1" x14ac:dyDescent="0.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2.75" customHeight="1" x14ac:dyDescent="0.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2.75" customHeight="1" x14ac:dyDescent="0.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2.75" customHeight="1" x14ac:dyDescent="0.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2.75" customHeight="1" x14ac:dyDescent="0.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2.75" customHeight="1" x14ac:dyDescent="0.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2.75" customHeight="1" x14ac:dyDescent="0.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2.75" customHeight="1" x14ac:dyDescent="0.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2.75" customHeight="1" x14ac:dyDescent="0.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2.75" customHeight="1" x14ac:dyDescent="0.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2.75" customHeight="1" x14ac:dyDescent="0.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2.75" customHeight="1" x14ac:dyDescent="0.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2.75" customHeight="1" x14ac:dyDescent="0.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2.75" customHeight="1" x14ac:dyDescent="0.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2.75" customHeight="1" x14ac:dyDescent="0.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2.75" customHeight="1" x14ac:dyDescent="0.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2.75" customHeight="1" x14ac:dyDescent="0.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2.75" customHeight="1" x14ac:dyDescent="0.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2.75" customHeight="1" x14ac:dyDescent="0.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2.75" customHeight="1" x14ac:dyDescent="0.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2.75" customHeight="1" x14ac:dyDescent="0.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2.75" customHeight="1" x14ac:dyDescent="0.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2.75" customHeight="1" x14ac:dyDescent="0.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2.75" customHeight="1" x14ac:dyDescent="0.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2.75" customHeight="1" x14ac:dyDescent="0.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2.75" customHeight="1" x14ac:dyDescent="0.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2.75" customHeight="1" x14ac:dyDescent="0.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2.75" customHeight="1" x14ac:dyDescent="0.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2.75" customHeight="1" x14ac:dyDescent="0.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2.75" customHeight="1" x14ac:dyDescent="0.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2.75" customHeight="1" x14ac:dyDescent="0.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2.75" customHeight="1" x14ac:dyDescent="0.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2.75" customHeight="1" x14ac:dyDescent="0.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2.75" customHeight="1" x14ac:dyDescent="0.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2.75" customHeight="1" x14ac:dyDescent="0.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2.75" customHeight="1" x14ac:dyDescent="0.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2.75" customHeight="1" x14ac:dyDescent="0.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2.75" customHeight="1" x14ac:dyDescent="0.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2.75" customHeight="1" x14ac:dyDescent="0.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2.75" customHeight="1" x14ac:dyDescent="0.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2.75" customHeight="1" x14ac:dyDescent="0.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2.75" customHeight="1" x14ac:dyDescent="0.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2.75" customHeight="1" x14ac:dyDescent="0.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2.75" customHeight="1" x14ac:dyDescent="0.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2.75" customHeight="1" x14ac:dyDescent="0.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2.75" customHeight="1" x14ac:dyDescent="0.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2.75" customHeight="1" x14ac:dyDescent="0.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2.75" customHeight="1" x14ac:dyDescent="0.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2.75" customHeight="1" x14ac:dyDescent="0.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2.75" customHeight="1" x14ac:dyDescent="0.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2.75" customHeight="1" x14ac:dyDescent="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2.75" customHeight="1" x14ac:dyDescent="0.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2.75" customHeight="1" x14ac:dyDescent="0.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2.75" customHeight="1" x14ac:dyDescent="0.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2.75" customHeight="1" x14ac:dyDescent="0.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2.75" customHeight="1" x14ac:dyDescent="0.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2.75" customHeight="1" x14ac:dyDescent="0.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2.75" customHeight="1" x14ac:dyDescent="0.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2.75" customHeight="1" x14ac:dyDescent="0.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2.75" customHeight="1" x14ac:dyDescent="0.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2.75" customHeight="1" x14ac:dyDescent="0.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2.75" customHeight="1" x14ac:dyDescent="0.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2.75" customHeight="1" x14ac:dyDescent="0.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2.75" customHeight="1" x14ac:dyDescent="0.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2.75" customHeight="1" x14ac:dyDescent="0.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2.75" customHeight="1" x14ac:dyDescent="0.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2.75" customHeight="1" x14ac:dyDescent="0.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2.75" customHeight="1" x14ac:dyDescent="0.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2.75" customHeight="1" x14ac:dyDescent="0.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2.75" customHeight="1" x14ac:dyDescent="0.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2.75" customHeight="1" x14ac:dyDescent="0.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2.75" customHeight="1" x14ac:dyDescent="0.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2.75" customHeight="1" x14ac:dyDescent="0.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2.75" customHeight="1" x14ac:dyDescent="0.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2.75" customHeight="1" x14ac:dyDescent="0.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2.75" customHeight="1" x14ac:dyDescent="0.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2.75" customHeight="1" x14ac:dyDescent="0.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2.75" customHeight="1" x14ac:dyDescent="0.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2.75" customHeight="1" x14ac:dyDescent="0.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2.75" customHeight="1" x14ac:dyDescent="0.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2.75" customHeight="1" x14ac:dyDescent="0.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2.75" customHeight="1" x14ac:dyDescent="0.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2.75" customHeight="1" x14ac:dyDescent="0.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2.75" customHeight="1" x14ac:dyDescent="0.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2.75" customHeight="1" x14ac:dyDescent="0.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2.75" customHeight="1" x14ac:dyDescent="0.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2.75" customHeight="1" x14ac:dyDescent="0.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2.75" customHeight="1" x14ac:dyDescent="0.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2.75" customHeight="1" x14ac:dyDescent="0.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2.75" customHeight="1" x14ac:dyDescent="0.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2.75" customHeight="1" x14ac:dyDescent="0.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2.75" customHeight="1" x14ac:dyDescent="0.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2.75" customHeight="1" x14ac:dyDescent="0.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2.75" customHeight="1" x14ac:dyDescent="0.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2.75" customHeight="1" x14ac:dyDescent="0.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2.75" customHeight="1" x14ac:dyDescent="0.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2.75" customHeight="1" x14ac:dyDescent="0.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2.75" customHeight="1" x14ac:dyDescent="0.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2.75" customHeight="1" x14ac:dyDescent="0.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2.75" customHeight="1" x14ac:dyDescent="0.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2.75" customHeight="1" x14ac:dyDescent="0.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2.75" customHeight="1" x14ac:dyDescent="0.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2.75" customHeight="1" x14ac:dyDescent="0.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2.75" customHeight="1" x14ac:dyDescent="0.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2.75" customHeight="1" x14ac:dyDescent="0.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2.75" customHeight="1" x14ac:dyDescent="0.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2.75" customHeight="1" x14ac:dyDescent="0.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2.75" customHeight="1" x14ac:dyDescent="0.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2.75" customHeight="1" x14ac:dyDescent="0.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2.75" customHeight="1" x14ac:dyDescent="0.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2.75" customHeight="1" x14ac:dyDescent="0.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2.75" customHeight="1" x14ac:dyDescent="0.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2.75" customHeight="1" x14ac:dyDescent="0.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2.75" customHeight="1" x14ac:dyDescent="0.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2.75" customHeight="1" x14ac:dyDescent="0.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2.75" customHeight="1" x14ac:dyDescent="0.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2.75" customHeight="1" x14ac:dyDescent="0.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2.75" customHeight="1" x14ac:dyDescent="0.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2.75" customHeight="1" x14ac:dyDescent="0.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2.75" customHeight="1" x14ac:dyDescent="0.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2.75" customHeight="1" x14ac:dyDescent="0.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2.75" customHeight="1" x14ac:dyDescent="0.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2.75" customHeight="1" x14ac:dyDescent="0.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2.75" customHeight="1" x14ac:dyDescent="0.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2.75" customHeight="1" x14ac:dyDescent="0.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2.75" customHeight="1" x14ac:dyDescent="0.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2.75" customHeight="1" x14ac:dyDescent="0.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2.75" customHeight="1" x14ac:dyDescent="0.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2.75" customHeight="1" x14ac:dyDescent="0.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2.75" customHeight="1" x14ac:dyDescent="0.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2.75" customHeight="1" x14ac:dyDescent="0.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2.75" customHeight="1" x14ac:dyDescent="0.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2.75" customHeight="1" x14ac:dyDescent="0.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2.75" customHeight="1" x14ac:dyDescent="0.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2.75" customHeight="1" x14ac:dyDescent="0.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2.75" customHeight="1" x14ac:dyDescent="0.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2.75" customHeight="1" x14ac:dyDescent="0.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2.75" customHeight="1" x14ac:dyDescent="0.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2.75" customHeight="1" x14ac:dyDescent="0.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2.75" customHeight="1" x14ac:dyDescent="0.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2.75" customHeight="1" x14ac:dyDescent="0.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2.75" customHeight="1" x14ac:dyDescent="0.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2.75" customHeight="1" x14ac:dyDescent="0.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2.75" customHeight="1" x14ac:dyDescent="0.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2.75" customHeight="1" x14ac:dyDescent="0.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2.75" customHeight="1" x14ac:dyDescent="0.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2.75" customHeight="1" x14ac:dyDescent="0.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2.75" customHeight="1" x14ac:dyDescent="0.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2.75" customHeight="1" x14ac:dyDescent="0.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2.75" customHeight="1" x14ac:dyDescent="0.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2.75" customHeight="1" x14ac:dyDescent="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2.75" customHeight="1" x14ac:dyDescent="0.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2.75" customHeight="1" x14ac:dyDescent="0.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2.75" customHeight="1" x14ac:dyDescent="0.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2.75" customHeight="1" x14ac:dyDescent="0.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2.75" customHeight="1" x14ac:dyDescent="0.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2.75" customHeight="1" x14ac:dyDescent="0.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2.75" customHeight="1" x14ac:dyDescent="0.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2.75" customHeight="1" x14ac:dyDescent="0.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2.75" customHeight="1" x14ac:dyDescent="0.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spans="1:26" ht="12.75" customHeight="1" x14ac:dyDescent="0.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spans="1:26" ht="12.75" customHeight="1" x14ac:dyDescent="0.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spans="1:26" ht="12.75" customHeight="1" x14ac:dyDescent="0.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spans="1:26" ht="12.75" customHeight="1" x14ac:dyDescent="0.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spans="1:26" ht="12.75" customHeight="1" x14ac:dyDescent="0.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spans="1:26" ht="12.75" customHeight="1" x14ac:dyDescent="0.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spans="1:26" ht="12.75" customHeight="1" x14ac:dyDescent="0.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spans="1:26" ht="12.75" customHeight="1" x14ac:dyDescent="0.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spans="1:26" ht="12.75" customHeight="1" x14ac:dyDescent="0.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spans="1:26" ht="12.75" customHeight="1" x14ac:dyDescent="0.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spans="1:26" ht="12.75" customHeight="1" x14ac:dyDescent="0.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spans="1:26" ht="12.75" customHeight="1" x14ac:dyDescent="0.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spans="1:26" ht="12.75" customHeight="1" x14ac:dyDescent="0.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spans="1:26" ht="12.75" customHeight="1" x14ac:dyDescent="0.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spans="1:26" ht="12.75" customHeight="1" x14ac:dyDescent="0.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spans="1:26" ht="12.75" customHeight="1" x14ac:dyDescent="0.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spans="1:26" ht="12.75" customHeight="1" x14ac:dyDescent="0.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spans="1:26" ht="12.75" customHeight="1" x14ac:dyDescent="0.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spans="1:26" ht="12.75" customHeight="1" x14ac:dyDescent="0.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spans="1:26" ht="12.75" customHeight="1" x14ac:dyDescent="0.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spans="1:26" ht="12.75" customHeight="1" x14ac:dyDescent="0.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spans="1:26" ht="12.75" customHeight="1" x14ac:dyDescent="0.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spans="1:26" ht="12.75" customHeight="1" x14ac:dyDescent="0.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spans="1:26" ht="12.75" customHeight="1" x14ac:dyDescent="0.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spans="1:26" ht="12.75" customHeight="1" x14ac:dyDescent="0.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spans="1:26" ht="12.75" customHeight="1" x14ac:dyDescent="0.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spans="1:26" ht="12.75" customHeight="1" x14ac:dyDescent="0.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spans="1:26" ht="12.75" customHeight="1" x14ac:dyDescent="0.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spans="1:26" ht="12.75" customHeight="1" x14ac:dyDescent="0.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spans="1:26" ht="12.75" customHeight="1" x14ac:dyDescent="0.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spans="1:26" ht="12.75" customHeight="1" x14ac:dyDescent="0.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spans="1:26" ht="12.75" customHeight="1" x14ac:dyDescent="0.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spans="1:26" ht="12.75" customHeight="1" x14ac:dyDescent="0.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spans="1:26" ht="12.75" customHeight="1" x14ac:dyDescent="0.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spans="1:26" ht="12.75" customHeight="1" x14ac:dyDescent="0.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spans="1:26" ht="12.75" customHeight="1" x14ac:dyDescent="0.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spans="1:26" ht="12.75" customHeight="1" x14ac:dyDescent="0.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spans="1:26" ht="12.75" customHeight="1" x14ac:dyDescent="0.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spans="1:26" ht="12.75" customHeight="1" x14ac:dyDescent="0.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spans="1:26" ht="12.75" customHeight="1" x14ac:dyDescent="0.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spans="1:26" ht="12.75" customHeight="1" x14ac:dyDescent="0.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spans="1:26" ht="12.75" customHeight="1" x14ac:dyDescent="0.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spans="1:26" ht="12.75" customHeight="1" x14ac:dyDescent="0.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spans="1:26" ht="12.75" customHeight="1" x14ac:dyDescent="0.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spans="1:26" ht="12.75" customHeight="1" x14ac:dyDescent="0.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spans="1:26" ht="12.75" customHeight="1" x14ac:dyDescent="0.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spans="1:26" ht="12.75" customHeight="1" x14ac:dyDescent="0.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spans="1:26" ht="12.75" customHeight="1" x14ac:dyDescent="0.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spans="1:26" ht="12.75" customHeight="1" x14ac:dyDescent="0.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spans="1:26" ht="12.75" customHeight="1" x14ac:dyDescent="0.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spans="1:26" ht="12.75" customHeight="1" x14ac:dyDescent="0.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spans="1:26" ht="12.75" customHeight="1" x14ac:dyDescent="0.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spans="1:26" ht="12.75" customHeight="1" x14ac:dyDescent="0.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spans="1:26" ht="12.75" customHeight="1" x14ac:dyDescent="0.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spans="1:26" ht="12.75" customHeight="1" x14ac:dyDescent="0.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spans="1:26" ht="12.75" customHeight="1" x14ac:dyDescent="0.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spans="1:26" ht="12.75" customHeight="1" x14ac:dyDescent="0.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spans="1:26" ht="12.75" customHeight="1" x14ac:dyDescent="0.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spans="1:26" ht="12.75" customHeight="1" x14ac:dyDescent="0.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spans="1:26" ht="12.75" customHeight="1" x14ac:dyDescent="0.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spans="1:26" ht="12.75" customHeight="1" x14ac:dyDescent="0.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spans="1:26" ht="12.75" customHeight="1" x14ac:dyDescent="0.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spans="1:26" ht="12.75" customHeight="1" x14ac:dyDescent="0.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spans="1:26" ht="12.75" customHeight="1" x14ac:dyDescent="0.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spans="1:26" ht="12.75" customHeight="1" x14ac:dyDescent="0.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spans="1:26" ht="12.75" customHeight="1" x14ac:dyDescent="0.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spans="1:26" ht="12.75" customHeight="1" x14ac:dyDescent="0.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spans="1:26" ht="12.75" customHeight="1" x14ac:dyDescent="0.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spans="1:26" ht="12.75" customHeight="1" x14ac:dyDescent="0.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spans="1:26" ht="12.75" customHeight="1" x14ac:dyDescent="0.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spans="1:26" ht="12.75" customHeight="1" x14ac:dyDescent="0.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spans="1:26" ht="12.75" customHeight="1" x14ac:dyDescent="0.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spans="1:26" ht="12.75" customHeight="1" x14ac:dyDescent="0.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spans="1:26" ht="12.75" customHeight="1" x14ac:dyDescent="0.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spans="1:26" ht="12.75" customHeight="1" x14ac:dyDescent="0.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spans="1:26" ht="12.75" customHeight="1" x14ac:dyDescent="0.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spans="1:26" ht="12.75" customHeight="1" x14ac:dyDescent="0.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spans="1:26" ht="12.75" customHeight="1" x14ac:dyDescent="0.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spans="1:26" ht="12.75" customHeight="1" x14ac:dyDescent="0.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spans="1:26" ht="12.75" customHeight="1" x14ac:dyDescent="0.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spans="1:26" ht="12.75" customHeight="1" x14ac:dyDescent="0.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spans="1:26" ht="12.75" customHeight="1" x14ac:dyDescent="0.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spans="1:26" ht="12.75" customHeight="1" x14ac:dyDescent="0.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spans="1:26" ht="12.75" customHeight="1" x14ac:dyDescent="0.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spans="1:26" ht="12.75" customHeight="1" x14ac:dyDescent="0.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spans="1:26" ht="12.75" customHeight="1" x14ac:dyDescent="0.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spans="1:26" ht="12.75" customHeight="1" x14ac:dyDescent="0.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spans="1:26" ht="12.75" customHeight="1" x14ac:dyDescent="0.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spans="1:26" ht="12.75" customHeight="1" x14ac:dyDescent="0.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spans="1:26" ht="12.75" customHeight="1" x14ac:dyDescent="0.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spans="1:26" ht="12.75" customHeight="1" x14ac:dyDescent="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spans="1:26" ht="12.75" customHeight="1" x14ac:dyDescent="0.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spans="1:26" ht="12.75" customHeight="1" x14ac:dyDescent="0.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spans="1:26" ht="12.75" customHeight="1" x14ac:dyDescent="0.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spans="1:26" ht="12.75" customHeight="1" x14ac:dyDescent="0.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spans="1:26" ht="12.75" customHeight="1" x14ac:dyDescent="0.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spans="1:26" ht="12.75" customHeight="1" x14ac:dyDescent="0.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spans="1:26" ht="12.75" customHeight="1" x14ac:dyDescent="0.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spans="1:26" ht="12.75" customHeight="1" x14ac:dyDescent="0.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spans="1:26" ht="12.75" customHeight="1" x14ac:dyDescent="0.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spans="1:26" ht="12.75" customHeight="1" x14ac:dyDescent="0.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spans="1:26" ht="12.75" customHeight="1" x14ac:dyDescent="0.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spans="1:26" ht="12.75" customHeight="1" x14ac:dyDescent="0.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spans="1:26" ht="12.75" customHeight="1" x14ac:dyDescent="0.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spans="1:26" ht="12.75" customHeight="1" x14ac:dyDescent="0.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spans="1:26" ht="12.75" customHeight="1" x14ac:dyDescent="0.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spans="1:26" ht="12.75" customHeight="1" x14ac:dyDescent="0.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spans="1:26" ht="12.75" customHeight="1" x14ac:dyDescent="0.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spans="1:26" ht="12.75" customHeight="1" x14ac:dyDescent="0.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spans="1:26" ht="12.75" customHeight="1" x14ac:dyDescent="0.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spans="1:26" ht="12.75" customHeight="1" x14ac:dyDescent="0.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spans="1:26" ht="12.75" customHeight="1" x14ac:dyDescent="0.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spans="1:26" ht="12.75" customHeight="1" x14ac:dyDescent="0.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spans="1:26" ht="12.75" customHeight="1" x14ac:dyDescent="0.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spans="1:26" ht="12.75" customHeight="1" x14ac:dyDescent="0.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spans="1:26" ht="12.75" customHeight="1" x14ac:dyDescent="0.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spans="1:26" ht="12.75" customHeight="1" x14ac:dyDescent="0.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spans="1:26" ht="12.75" customHeight="1" x14ac:dyDescent="0.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spans="1:26" ht="12.75" customHeight="1" x14ac:dyDescent="0.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spans="1:26" ht="12.75" customHeight="1" x14ac:dyDescent="0.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spans="1:26" ht="12.75" customHeight="1" x14ac:dyDescent="0.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spans="1:26" ht="12.75" customHeight="1" x14ac:dyDescent="0.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spans="1:26" ht="12.75" customHeight="1" x14ac:dyDescent="0.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spans="1:26" ht="12.75" customHeight="1" x14ac:dyDescent="0.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spans="1:26" ht="12.75" customHeight="1" x14ac:dyDescent="0.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spans="1:26" ht="12.75" customHeight="1" x14ac:dyDescent="0.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spans="1:26" ht="12.75" customHeight="1" x14ac:dyDescent="0.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spans="1:26" ht="12.75" customHeight="1" x14ac:dyDescent="0.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spans="1:26" ht="12.75" customHeight="1" x14ac:dyDescent="0.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spans="1:26" ht="12.75" customHeight="1" x14ac:dyDescent="0.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spans="1:26" ht="12.75" customHeight="1" x14ac:dyDescent="0.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spans="1:26" ht="12.75" customHeight="1" x14ac:dyDescent="0.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spans="1:26" ht="12.75" customHeight="1" x14ac:dyDescent="0.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spans="1:26" ht="12.75" customHeight="1" x14ac:dyDescent="0.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spans="1:26" ht="12.75" customHeight="1" x14ac:dyDescent="0.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spans="1:26" ht="12.75" customHeight="1" x14ac:dyDescent="0.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spans="1:26" ht="12.75" customHeight="1" x14ac:dyDescent="0.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spans="1:26" ht="12.75" customHeight="1" x14ac:dyDescent="0.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spans="1:26" ht="12.75" customHeight="1" x14ac:dyDescent="0.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spans="1:26" ht="12.75" customHeight="1" x14ac:dyDescent="0.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spans="1:26" ht="12.75" customHeight="1" x14ac:dyDescent="0.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spans="1:26" ht="12.75" customHeight="1" x14ac:dyDescent="0.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spans="1:26" ht="12.75" customHeight="1" x14ac:dyDescent="0.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spans="1:26" ht="12.75" customHeight="1" x14ac:dyDescent="0.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spans="1:26" ht="12.75" customHeight="1" x14ac:dyDescent="0.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spans="1:26" ht="12.75" customHeight="1" x14ac:dyDescent="0.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spans="1:26" ht="12.75" customHeight="1" x14ac:dyDescent="0.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spans="1:26" ht="12.75" customHeight="1" x14ac:dyDescent="0.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spans="1:26" ht="12.75" customHeight="1" x14ac:dyDescent="0.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spans="1:26" ht="12.75" customHeight="1" x14ac:dyDescent="0.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spans="1:26" ht="12.75" customHeight="1" x14ac:dyDescent="0.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spans="1:26" ht="12.75" customHeight="1" x14ac:dyDescent="0.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spans="1:26" ht="12.75" customHeight="1" x14ac:dyDescent="0.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spans="1:26" ht="12.75" customHeight="1" x14ac:dyDescent="0.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spans="1:26" ht="12.75" customHeight="1" x14ac:dyDescent="0.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spans="1:26" ht="12.75" customHeight="1" x14ac:dyDescent="0.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spans="1:26" ht="12.75" customHeight="1" x14ac:dyDescent="0.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spans="1:26" ht="12.75" customHeight="1" x14ac:dyDescent="0.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spans="1:26" ht="12.75" customHeight="1" x14ac:dyDescent="0.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spans="1:26" ht="12.75" customHeight="1" x14ac:dyDescent="0.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spans="1:26" ht="12.75" customHeight="1" x14ac:dyDescent="0.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spans="1:26" ht="12.75" customHeight="1" x14ac:dyDescent="0.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spans="1:26" ht="12.75" customHeight="1" x14ac:dyDescent="0.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spans="1:26" ht="12.75" customHeight="1" x14ac:dyDescent="0.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spans="1:26" ht="12.75" customHeight="1" x14ac:dyDescent="0.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spans="1:26" ht="12.75" customHeight="1" x14ac:dyDescent="0.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spans="1:26" ht="12.75" customHeight="1" x14ac:dyDescent="0.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spans="1:26" ht="12.75" customHeight="1" x14ac:dyDescent="0.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spans="1:26" ht="12.75" customHeight="1" x14ac:dyDescent="0.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spans="1:26" ht="12.75" customHeight="1" x14ac:dyDescent="0.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spans="1:26" ht="12.75" customHeight="1" x14ac:dyDescent="0.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spans="1:26" ht="12.75" customHeight="1" x14ac:dyDescent="0.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spans="1:26" ht="12.75" customHeight="1" x14ac:dyDescent="0.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spans="1:26" ht="12.75" customHeight="1" x14ac:dyDescent="0.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spans="1:26" ht="12.75" customHeight="1" x14ac:dyDescent="0.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spans="1:26" ht="12.75" customHeight="1" x14ac:dyDescent="0.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spans="1:26" ht="12.75" customHeight="1" x14ac:dyDescent="0.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spans="1:26" ht="12.75" customHeight="1" x14ac:dyDescent="0.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spans="1:26" ht="12.75" customHeight="1" x14ac:dyDescent="0.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spans="1:26" ht="12.75" customHeight="1" x14ac:dyDescent="0.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spans="1:26" ht="12.75" customHeight="1" x14ac:dyDescent="0.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spans="1:26" ht="12.75" customHeight="1" x14ac:dyDescent="0.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spans="1:26" ht="12.75" customHeight="1" x14ac:dyDescent="0.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spans="1:26" ht="12.75" customHeight="1" x14ac:dyDescent="0.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spans="1:26" ht="12.75" customHeight="1" x14ac:dyDescent="0.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spans="1:26" ht="12.75" customHeight="1" x14ac:dyDescent="0.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spans="1:26" ht="12.75" customHeight="1" x14ac:dyDescent="0.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spans="1:26" ht="12.75" customHeight="1" x14ac:dyDescent="0.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spans="1:26" ht="12.75" customHeight="1" x14ac:dyDescent="0.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spans="1:26" ht="12.75" customHeight="1" x14ac:dyDescent="0.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spans="1:26" ht="12.75" customHeight="1" x14ac:dyDescent="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spans="1:26" ht="12.75" customHeight="1" x14ac:dyDescent="0.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spans="1:26" ht="12.75" customHeight="1" x14ac:dyDescent="0.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spans="1:26" ht="12.75" customHeight="1" x14ac:dyDescent="0.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spans="1:26" ht="12.75" customHeight="1" x14ac:dyDescent="0.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spans="1:26" ht="12.75" customHeight="1" x14ac:dyDescent="0.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spans="1:26" ht="12.75" customHeight="1" x14ac:dyDescent="0.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spans="1:26" ht="12.75" customHeight="1" x14ac:dyDescent="0.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spans="1:26" ht="12.75" customHeight="1" x14ac:dyDescent="0.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spans="1:26" ht="12.75" customHeight="1" x14ac:dyDescent="0.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spans="1:26" ht="12.75" customHeight="1" x14ac:dyDescent="0.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spans="1:26" ht="12.75" customHeight="1" x14ac:dyDescent="0.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spans="1:26" ht="12.75" customHeight="1" x14ac:dyDescent="0.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spans="1:26" ht="12.75" customHeight="1" x14ac:dyDescent="0.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spans="1:26" ht="12.75" customHeight="1" x14ac:dyDescent="0.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spans="1:26" ht="12.75" customHeight="1" x14ac:dyDescent="0.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spans="1:26" ht="12.75" customHeight="1" x14ac:dyDescent="0.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spans="1:26" ht="12.75" customHeight="1" x14ac:dyDescent="0.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spans="1:26" ht="12.75" customHeight="1" x14ac:dyDescent="0.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spans="1:26" ht="12.75" customHeight="1" x14ac:dyDescent="0.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spans="1:26" ht="12.75" customHeight="1" x14ac:dyDescent="0.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spans="1:26" ht="12.75" customHeight="1" x14ac:dyDescent="0.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spans="1:26" ht="12.75" customHeight="1" x14ac:dyDescent="0.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spans="1:26" ht="12.75" customHeight="1" x14ac:dyDescent="0.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spans="1:26" ht="12.75" customHeight="1" x14ac:dyDescent="0.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spans="1:26" ht="12.75" customHeight="1" x14ac:dyDescent="0.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spans="1:26" ht="12.75" customHeight="1" x14ac:dyDescent="0.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spans="1:26" ht="12.75" customHeight="1" x14ac:dyDescent="0.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spans="1:26" ht="12.75" customHeight="1" x14ac:dyDescent="0.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spans="1:26" ht="12.75" customHeight="1" x14ac:dyDescent="0.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spans="1:26" ht="12.75" customHeight="1" x14ac:dyDescent="0.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spans="1:26" ht="12.75" customHeight="1" x14ac:dyDescent="0.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spans="1:26" ht="12.75" customHeight="1" x14ac:dyDescent="0.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spans="1:26" ht="12.75" customHeight="1" x14ac:dyDescent="0.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spans="1:26" ht="12.75" customHeight="1" x14ac:dyDescent="0.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spans="1:26" ht="12.75" customHeight="1" x14ac:dyDescent="0.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spans="1:26" ht="12.75" customHeight="1" x14ac:dyDescent="0.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spans="1:26" ht="12.75" customHeight="1" x14ac:dyDescent="0.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spans="1:26" ht="12.75" customHeight="1" x14ac:dyDescent="0.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spans="1:26" ht="12.75" customHeight="1" x14ac:dyDescent="0.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spans="1:26" ht="12.75" customHeight="1" x14ac:dyDescent="0.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spans="1:26" ht="12.75" customHeight="1" x14ac:dyDescent="0.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spans="1:26" ht="12.75" customHeight="1" x14ac:dyDescent="0.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spans="1:26" ht="12.75" customHeight="1" x14ac:dyDescent="0.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spans="1:26" ht="12.75" customHeight="1" x14ac:dyDescent="0.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spans="1:26" ht="12.75" customHeight="1" x14ac:dyDescent="0.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spans="1:26" ht="12.75" customHeight="1" x14ac:dyDescent="0.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spans="1:26" ht="12.75" customHeight="1" x14ac:dyDescent="0.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spans="1:26" ht="12.75" customHeight="1" x14ac:dyDescent="0.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spans="1:26" ht="12.75" customHeight="1" x14ac:dyDescent="0.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spans="1:26" ht="12.75" customHeight="1" x14ac:dyDescent="0.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spans="1:26" ht="12.75" customHeight="1" x14ac:dyDescent="0.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spans="1:26" ht="12.75" customHeight="1" x14ac:dyDescent="0.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spans="1:26" ht="12.75" customHeight="1" x14ac:dyDescent="0.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spans="1:26" ht="12.75" customHeight="1" x14ac:dyDescent="0.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spans="1:26" ht="12.75" customHeight="1" x14ac:dyDescent="0.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spans="1:26" ht="12.75" customHeight="1" x14ac:dyDescent="0.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spans="1:26" ht="12.75" customHeight="1" x14ac:dyDescent="0.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spans="1:26" ht="12.75" customHeight="1" x14ac:dyDescent="0.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spans="1:26" ht="12.75" customHeight="1" x14ac:dyDescent="0.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spans="1:26" ht="12.75" customHeight="1" x14ac:dyDescent="0.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spans="1:26" ht="12.75" customHeight="1" x14ac:dyDescent="0.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spans="1:26" ht="12.75" customHeight="1" x14ac:dyDescent="0.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spans="1:26" ht="12.75" customHeight="1" x14ac:dyDescent="0.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spans="1:26" ht="12.75" customHeight="1" x14ac:dyDescent="0.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spans="1:26" ht="12.75" customHeight="1" x14ac:dyDescent="0.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spans="1:26" ht="12.75" customHeight="1" x14ac:dyDescent="0.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spans="1:26" ht="12.75" customHeight="1" x14ac:dyDescent="0.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spans="1:26" ht="12.75" customHeight="1" x14ac:dyDescent="0.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spans="1:26" ht="12.75" customHeight="1" x14ac:dyDescent="0.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spans="1:26" ht="12.75" customHeight="1" x14ac:dyDescent="0.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spans="1:26" ht="12.75" customHeight="1" x14ac:dyDescent="0.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spans="1:26" ht="12.75" customHeight="1" x14ac:dyDescent="0.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spans="1:26" ht="12.75" customHeight="1" x14ac:dyDescent="0.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spans="1:26" ht="12.75" customHeight="1" x14ac:dyDescent="0.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spans="1:26" ht="12.75" customHeight="1" x14ac:dyDescent="0.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spans="1:26" ht="12.75" customHeight="1" x14ac:dyDescent="0.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spans="1:26" ht="12.75" customHeight="1" x14ac:dyDescent="0.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spans="1:26" ht="12.75" customHeight="1" x14ac:dyDescent="0.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spans="1:26" ht="12.75" customHeight="1" x14ac:dyDescent="0.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spans="1:26" ht="12.75" customHeight="1" x14ac:dyDescent="0.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spans="1:26" ht="12.75" customHeight="1" x14ac:dyDescent="0.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spans="1:26" ht="12.75" customHeight="1" x14ac:dyDescent="0.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spans="1:26" ht="12.75" customHeight="1" x14ac:dyDescent="0.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spans="1:26" ht="12.75" customHeight="1" x14ac:dyDescent="0.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spans="1:26" ht="12.75" customHeight="1" x14ac:dyDescent="0.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spans="1:26" ht="12.75" customHeight="1" x14ac:dyDescent="0.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spans="1:26" ht="12.75" customHeight="1" x14ac:dyDescent="0.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spans="1:26" ht="12.75" customHeight="1" x14ac:dyDescent="0.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spans="1:26" ht="12.75" customHeight="1" x14ac:dyDescent="0.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spans="1:26" ht="12.75" customHeight="1" x14ac:dyDescent="0.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spans="1:26" ht="12.75" customHeight="1" x14ac:dyDescent="0.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spans="1:26" ht="12.75" customHeight="1" x14ac:dyDescent="0.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spans="1:26" ht="12.75" customHeight="1" x14ac:dyDescent="0.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spans="1:26" ht="12.75" customHeight="1" x14ac:dyDescent="0.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spans="1:26" ht="12.75" customHeight="1" x14ac:dyDescent="0.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spans="1:26" ht="12.75" customHeight="1" x14ac:dyDescent="0.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sheetData>
  <mergeCells count="8">
    <mergeCell ref="A18:D18"/>
    <mergeCell ref="A5:H7"/>
    <mergeCell ref="A8:A9"/>
    <mergeCell ref="B8:B9"/>
    <mergeCell ref="C8:C9"/>
    <mergeCell ref="D8:D9"/>
    <mergeCell ref="F8:G8"/>
    <mergeCell ref="H8:H9"/>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997"/>
  <sheetViews>
    <sheetView showGridLines="0" workbookViewId="0">
      <pane ySplit="7" topLeftCell="A8" activePane="bottomLeft" state="frozen"/>
      <selection pane="bottomLeft" activeCell="E23" sqref="E23"/>
    </sheetView>
    <sheetView workbookViewId="1"/>
  </sheetViews>
  <sheetFormatPr defaultColWidth="0" defaultRowHeight="15" customHeight="1" x14ac:dyDescent="0.2"/>
  <cols>
    <col min="1" max="1" width="28.42578125" customWidth="1"/>
    <col min="2" max="2" width="82.5703125" customWidth="1"/>
    <col min="3" max="3" width="9.28515625" customWidth="1"/>
    <col min="4" max="5" width="14.42578125" customWidth="1"/>
    <col min="6" max="6" width="30.28515625" customWidth="1"/>
    <col min="7" max="7" width="7.28515625" customWidth="1"/>
    <col min="8" max="8" width="14.7109375" customWidth="1"/>
    <col min="9" max="9" width="12.7109375" customWidth="1"/>
    <col min="10" max="10" width="9.28515625" customWidth="1"/>
    <col min="11" max="16" width="9.28515625" hidden="1" customWidth="1"/>
    <col min="17" max="27" width="10" hidden="1" customWidth="1"/>
    <col min="28" max="16384" width="12.42578125" hidden="1"/>
  </cols>
  <sheetData>
    <row r="1" spans="1:26" ht="15" customHeight="1" x14ac:dyDescent="0.2">
      <c r="A1" s="196" t="str">
        <f>'RESUMEN GENERAL'!A3</f>
        <v xml:space="preserve">Título del proyecto:   </v>
      </c>
      <c r="B1" s="158" t="str" cm="1">
        <f t="array" ref="B1:J1">'RESUMEN GENERAL'!B3:J3</f>
        <v xml:space="preserve">Funciones evolutivas del habla dirigida a bebés: Impacto en la atención, las preferencias auditivas y el desarrollo lingüístico y musical temprano </v>
      </c>
      <c r="C1" s="159">
        <v>0</v>
      </c>
      <c r="D1" s="159">
        <v>0</v>
      </c>
      <c r="E1" s="159">
        <v>0</v>
      </c>
      <c r="F1" s="159">
        <v>0</v>
      </c>
      <c r="G1" s="159">
        <v>0</v>
      </c>
      <c r="H1" s="159">
        <v>0</v>
      </c>
      <c r="I1" s="159">
        <v>0</v>
      </c>
      <c r="J1" s="159">
        <v>0</v>
      </c>
    </row>
    <row r="2" spans="1:26" ht="15" customHeight="1" x14ac:dyDescent="0.2">
      <c r="A2" s="196" t="str">
        <f>'RESUMEN GENERAL'!A4</f>
        <v xml:space="preserve">Investigador Principal: </v>
      </c>
      <c r="B2" s="158" t="str" cm="1">
        <f t="array" ref="B2:J2">'RESUMEN GENERAL'!B4:J4</f>
        <v>Juan David Leongómez Peña</v>
      </c>
      <c r="C2" s="159">
        <v>0</v>
      </c>
      <c r="D2" s="159">
        <v>0</v>
      </c>
      <c r="E2" s="159">
        <v>0</v>
      </c>
      <c r="F2" s="159">
        <v>0</v>
      </c>
      <c r="G2" s="159">
        <v>0</v>
      </c>
      <c r="H2" s="159">
        <v>0</v>
      </c>
      <c r="I2" s="159">
        <v>0</v>
      </c>
      <c r="J2" s="159">
        <v>0</v>
      </c>
    </row>
    <row r="4" spans="1:26" ht="15" customHeight="1" x14ac:dyDescent="0.2">
      <c r="A4" s="33" t="s">
        <v>47</v>
      </c>
      <c r="B4" s="55"/>
      <c r="C4" s="55"/>
      <c r="D4" s="55"/>
      <c r="E4" s="55"/>
      <c r="F4" s="55"/>
      <c r="G4" s="55"/>
      <c r="H4" s="55"/>
      <c r="I4" s="55"/>
    </row>
    <row r="5" spans="1:26" ht="76.5" customHeight="1" x14ac:dyDescent="0.2">
      <c r="A5" s="293" t="s">
        <v>145</v>
      </c>
      <c r="B5" s="278"/>
      <c r="C5" s="278"/>
      <c r="D5" s="278"/>
      <c r="E5" s="278"/>
      <c r="F5" s="278"/>
      <c r="G5" s="278"/>
      <c r="H5" s="278"/>
      <c r="I5" s="278"/>
    </row>
    <row r="6" spans="1:26" ht="31.5" customHeight="1" x14ac:dyDescent="0.2">
      <c r="A6" s="269" t="s">
        <v>123</v>
      </c>
      <c r="B6" s="269" t="s">
        <v>91</v>
      </c>
      <c r="C6" s="269" t="s">
        <v>92</v>
      </c>
      <c r="D6" s="269" t="s">
        <v>93</v>
      </c>
      <c r="E6" s="269" t="s">
        <v>54</v>
      </c>
      <c r="F6" s="25" t="s">
        <v>32</v>
      </c>
      <c r="G6" s="271" t="s">
        <v>69</v>
      </c>
      <c r="H6" s="294"/>
      <c r="I6" s="273" t="s">
        <v>36</v>
      </c>
    </row>
    <row r="7" spans="1:26" ht="37.5" customHeight="1" x14ac:dyDescent="0.2">
      <c r="A7" s="270"/>
      <c r="B7" s="270"/>
      <c r="C7" s="270"/>
      <c r="D7" s="270"/>
      <c r="E7" s="270"/>
      <c r="F7" s="49" t="s">
        <v>94</v>
      </c>
      <c r="G7" s="1" t="s">
        <v>41</v>
      </c>
      <c r="H7" s="1" t="s">
        <v>125</v>
      </c>
      <c r="I7" s="274"/>
    </row>
    <row r="8" spans="1:26" ht="89.25" x14ac:dyDescent="0.2">
      <c r="A8" s="9" t="s">
        <v>201</v>
      </c>
      <c r="B8" s="9" t="s">
        <v>202</v>
      </c>
      <c r="C8" s="9">
        <v>12</v>
      </c>
      <c r="D8" s="8">
        <v>2000000</v>
      </c>
      <c r="E8" s="8">
        <f t="shared" ref="E8" si="0">+D8*C8</f>
        <v>24000000</v>
      </c>
      <c r="F8" s="308">
        <f>E8</f>
        <v>24000000</v>
      </c>
      <c r="G8" s="201">
        <v>0</v>
      </c>
      <c r="H8" s="34">
        <v>0</v>
      </c>
      <c r="I8" s="12">
        <f>SUM(F8:G8)</f>
        <v>24000000</v>
      </c>
      <c r="J8" s="69"/>
      <c r="K8" s="69"/>
      <c r="L8" s="69"/>
      <c r="M8" s="69"/>
      <c r="N8" s="69"/>
      <c r="O8" s="69"/>
      <c r="P8" s="69"/>
      <c r="Q8" s="69"/>
      <c r="R8" s="69"/>
      <c r="S8" s="69"/>
      <c r="T8" s="69"/>
      <c r="U8" s="69"/>
      <c r="V8" s="69"/>
      <c r="W8" s="69"/>
      <c r="X8" s="69"/>
      <c r="Y8" s="69"/>
      <c r="Z8" s="69"/>
    </row>
    <row r="9" spans="1:26" ht="12.75" customHeight="1" x14ac:dyDescent="0.2">
      <c r="A9" s="9"/>
      <c r="B9" s="10"/>
      <c r="C9" s="10"/>
      <c r="D9" s="34">
        <v>0</v>
      </c>
      <c r="E9" s="8">
        <f t="shared" ref="E8:E16" si="1">+D9*C9</f>
        <v>0</v>
      </c>
      <c r="F9" s="65">
        <v>0</v>
      </c>
      <c r="G9" s="201">
        <v>0</v>
      </c>
      <c r="H9" s="34">
        <v>0</v>
      </c>
      <c r="I9" s="12">
        <f>SUM(F9:G9)</f>
        <v>0</v>
      </c>
      <c r="J9" s="69"/>
      <c r="K9" s="69"/>
      <c r="L9" s="69"/>
      <c r="M9" s="69"/>
      <c r="N9" s="69"/>
      <c r="O9" s="69"/>
      <c r="P9" s="69"/>
      <c r="Q9" s="69"/>
      <c r="R9" s="69"/>
      <c r="S9" s="69"/>
      <c r="T9" s="69"/>
      <c r="U9" s="69"/>
      <c r="V9" s="69"/>
      <c r="W9" s="69"/>
      <c r="X9" s="69"/>
      <c r="Y9" s="69"/>
      <c r="Z9" s="69"/>
    </row>
    <row r="10" spans="1:26" ht="12.75" customHeight="1" x14ac:dyDescent="0.2">
      <c r="A10" s="10"/>
      <c r="B10" s="10"/>
      <c r="C10" s="10"/>
      <c r="D10" s="34">
        <v>0</v>
      </c>
      <c r="E10" s="8">
        <f t="shared" si="1"/>
        <v>0</v>
      </c>
      <c r="F10" s="65">
        <v>0</v>
      </c>
      <c r="G10" s="201">
        <v>0</v>
      </c>
      <c r="H10" s="34">
        <v>0</v>
      </c>
      <c r="I10" s="12">
        <f t="shared" ref="I10:I16" si="2">SUM(F10:H10)</f>
        <v>0</v>
      </c>
      <c r="J10" s="69"/>
      <c r="K10" s="69"/>
      <c r="L10" s="69"/>
      <c r="M10" s="69"/>
      <c r="N10" s="69"/>
      <c r="O10" s="69"/>
      <c r="P10" s="69"/>
      <c r="Q10" s="69"/>
      <c r="R10" s="69"/>
      <c r="S10" s="69"/>
      <c r="T10" s="69"/>
      <c r="U10" s="69"/>
      <c r="V10" s="69"/>
      <c r="W10" s="69"/>
      <c r="X10" s="69"/>
      <c r="Y10" s="69"/>
      <c r="Z10" s="69"/>
    </row>
    <row r="11" spans="1:26" ht="12.75" customHeight="1" x14ac:dyDescent="0.2">
      <c r="A11" s="10"/>
      <c r="B11" s="9"/>
      <c r="C11" s="9"/>
      <c r="D11" s="8">
        <v>0</v>
      </c>
      <c r="E11" s="8">
        <f t="shared" si="1"/>
        <v>0</v>
      </c>
      <c r="F11" s="65">
        <v>0</v>
      </c>
      <c r="G11" s="201">
        <v>0</v>
      </c>
      <c r="H11" s="34">
        <v>0</v>
      </c>
      <c r="I11" s="13">
        <f t="shared" si="2"/>
        <v>0</v>
      </c>
      <c r="J11" s="69"/>
      <c r="K11" s="69"/>
      <c r="L11" s="69"/>
      <c r="M11" s="69"/>
      <c r="N11" s="69"/>
      <c r="O11" s="69"/>
      <c r="P11" s="69"/>
      <c r="Q11" s="69"/>
      <c r="R11" s="69"/>
      <c r="S11" s="69"/>
      <c r="T11" s="69"/>
      <c r="U11" s="69"/>
      <c r="V11" s="69"/>
      <c r="W11" s="69"/>
      <c r="X11" s="69"/>
      <c r="Y11" s="69"/>
      <c r="Z11" s="69"/>
    </row>
    <row r="12" spans="1:26" ht="12.75" customHeight="1" x14ac:dyDescent="0.2">
      <c r="A12" s="10"/>
      <c r="B12" s="9"/>
      <c r="C12" s="9"/>
      <c r="D12" s="8">
        <v>0</v>
      </c>
      <c r="E12" s="8">
        <f t="shared" si="1"/>
        <v>0</v>
      </c>
      <c r="F12" s="66">
        <v>0</v>
      </c>
      <c r="G12" s="202">
        <v>0</v>
      </c>
      <c r="H12" s="34">
        <v>0</v>
      </c>
      <c r="I12" s="13">
        <f t="shared" si="2"/>
        <v>0</v>
      </c>
      <c r="J12" s="69"/>
      <c r="K12" s="69"/>
      <c r="L12" s="69"/>
      <c r="M12" s="69"/>
      <c r="N12" s="69"/>
      <c r="O12" s="69"/>
      <c r="P12" s="69"/>
      <c r="Q12" s="69"/>
      <c r="R12" s="69"/>
      <c r="S12" s="69"/>
      <c r="T12" s="69"/>
      <c r="U12" s="69"/>
      <c r="V12" s="69"/>
      <c r="W12" s="69"/>
      <c r="X12" s="69"/>
      <c r="Y12" s="69"/>
      <c r="Z12" s="69"/>
    </row>
    <row r="13" spans="1:26" ht="12.75" customHeight="1" x14ac:dyDescent="0.2">
      <c r="A13" s="9"/>
      <c r="B13" s="9"/>
      <c r="C13" s="9"/>
      <c r="D13" s="8">
        <v>0</v>
      </c>
      <c r="E13" s="8">
        <f t="shared" si="1"/>
        <v>0</v>
      </c>
      <c r="F13" s="65">
        <v>0</v>
      </c>
      <c r="G13" s="201">
        <v>0</v>
      </c>
      <c r="H13" s="34">
        <v>0</v>
      </c>
      <c r="I13" s="13">
        <f t="shared" si="2"/>
        <v>0</v>
      </c>
      <c r="J13" s="69"/>
      <c r="K13" s="69"/>
      <c r="L13" s="69"/>
      <c r="M13" s="69"/>
      <c r="N13" s="69"/>
      <c r="O13" s="69"/>
      <c r="P13" s="69"/>
      <c r="Q13" s="69"/>
      <c r="R13" s="69"/>
      <c r="S13" s="69"/>
      <c r="T13" s="69"/>
      <c r="U13" s="69"/>
      <c r="V13" s="69"/>
      <c r="W13" s="69"/>
      <c r="X13" s="69"/>
      <c r="Y13" s="69"/>
      <c r="Z13" s="69"/>
    </row>
    <row r="14" spans="1:26" ht="12.75" customHeight="1" x14ac:dyDescent="0.2">
      <c r="A14" s="10"/>
      <c r="B14" s="9"/>
      <c r="C14" s="9"/>
      <c r="D14" s="8">
        <v>0</v>
      </c>
      <c r="E14" s="8">
        <f t="shared" si="1"/>
        <v>0</v>
      </c>
      <c r="F14" s="65">
        <v>0</v>
      </c>
      <c r="G14" s="201">
        <v>0</v>
      </c>
      <c r="H14" s="34">
        <v>0</v>
      </c>
      <c r="I14" s="13">
        <f t="shared" si="2"/>
        <v>0</v>
      </c>
      <c r="J14" s="69"/>
      <c r="K14" s="69"/>
      <c r="L14" s="69"/>
      <c r="M14" s="69"/>
      <c r="N14" s="69"/>
      <c r="O14" s="69"/>
      <c r="P14" s="69"/>
      <c r="Q14" s="69"/>
      <c r="R14" s="69"/>
      <c r="S14" s="69"/>
      <c r="T14" s="69"/>
      <c r="U14" s="69"/>
      <c r="V14" s="69"/>
      <c r="W14" s="69"/>
      <c r="X14" s="69"/>
      <c r="Y14" s="69"/>
      <c r="Z14" s="69"/>
    </row>
    <row r="15" spans="1:26" ht="12.75" customHeight="1" x14ac:dyDescent="0.2">
      <c r="A15" s="9"/>
      <c r="B15" s="10"/>
      <c r="C15" s="10"/>
      <c r="D15" s="34">
        <v>0</v>
      </c>
      <c r="E15" s="8">
        <f t="shared" si="1"/>
        <v>0</v>
      </c>
      <c r="F15" s="65">
        <v>0</v>
      </c>
      <c r="G15" s="201">
        <v>0</v>
      </c>
      <c r="H15" s="34">
        <v>0</v>
      </c>
      <c r="I15" s="13">
        <f t="shared" si="2"/>
        <v>0</v>
      </c>
      <c r="J15" s="67"/>
      <c r="K15" s="67"/>
      <c r="L15" s="67"/>
      <c r="M15" s="67"/>
      <c r="N15" s="67"/>
      <c r="O15" s="67"/>
      <c r="P15" s="67"/>
      <c r="Q15" s="67"/>
      <c r="R15" s="67"/>
      <c r="S15" s="67"/>
      <c r="T15" s="67"/>
      <c r="U15" s="67"/>
      <c r="V15" s="67"/>
      <c r="W15" s="67"/>
      <c r="X15" s="67"/>
      <c r="Y15" s="67"/>
      <c r="Z15" s="67"/>
    </row>
    <row r="16" spans="1:26" ht="12.75" customHeight="1" x14ac:dyDescent="0.2">
      <c r="A16" s="9"/>
      <c r="B16" s="10"/>
      <c r="C16" s="10"/>
      <c r="D16" s="34">
        <v>0</v>
      </c>
      <c r="E16" s="8">
        <f t="shared" si="1"/>
        <v>0</v>
      </c>
      <c r="F16" s="65">
        <v>0</v>
      </c>
      <c r="G16" s="201">
        <v>0</v>
      </c>
      <c r="H16" s="34">
        <v>0</v>
      </c>
      <c r="I16" s="13">
        <f t="shared" si="2"/>
        <v>0</v>
      </c>
      <c r="J16" s="67"/>
      <c r="K16" s="67"/>
      <c r="L16" s="67"/>
      <c r="M16" s="67"/>
      <c r="N16" s="67"/>
      <c r="O16" s="67"/>
      <c r="P16" s="67"/>
      <c r="Q16" s="67"/>
      <c r="R16" s="67"/>
      <c r="S16" s="67"/>
      <c r="T16" s="67"/>
      <c r="U16" s="67"/>
      <c r="V16" s="67"/>
      <c r="W16" s="67"/>
      <c r="X16" s="67"/>
      <c r="Y16" s="67"/>
      <c r="Z16" s="67"/>
    </row>
    <row r="17" spans="1:26" ht="12.75" customHeight="1" x14ac:dyDescent="0.2">
      <c r="A17" s="275" t="s">
        <v>112</v>
      </c>
      <c r="B17" s="281"/>
      <c r="C17" s="281"/>
      <c r="D17" s="272"/>
      <c r="E17" s="194">
        <f t="shared" ref="E17:I17" si="3">SUM(E8:E16)</f>
        <v>24000000</v>
      </c>
      <c r="F17" s="194">
        <f t="shared" si="3"/>
        <v>24000000</v>
      </c>
      <c r="G17" s="194">
        <f t="shared" si="3"/>
        <v>0</v>
      </c>
      <c r="H17" s="194">
        <f t="shared" si="3"/>
        <v>0</v>
      </c>
      <c r="I17" s="194">
        <f t="shared" si="3"/>
        <v>24000000</v>
      </c>
      <c r="J17" s="67"/>
      <c r="K17" s="67"/>
      <c r="L17" s="67"/>
      <c r="M17" s="67"/>
      <c r="N17" s="67"/>
      <c r="O17" s="67"/>
      <c r="P17" s="67"/>
      <c r="Q17" s="67"/>
      <c r="R17" s="67"/>
      <c r="S17" s="67"/>
      <c r="T17" s="67"/>
      <c r="U17" s="67"/>
      <c r="V17" s="67"/>
      <c r="W17" s="67"/>
      <c r="X17" s="67"/>
      <c r="Y17" s="67"/>
      <c r="Z17" s="67"/>
    </row>
    <row r="18" spans="1:26" ht="12.75" customHeight="1" x14ac:dyDescent="0.2">
      <c r="A18" s="75"/>
      <c r="B18" s="75"/>
      <c r="C18" s="75"/>
      <c r="D18" s="75"/>
      <c r="E18" s="75"/>
      <c r="F18" s="75"/>
      <c r="G18" s="75"/>
      <c r="H18" s="75"/>
      <c r="I18" s="75"/>
      <c r="J18" s="75"/>
      <c r="K18" s="75"/>
      <c r="L18" s="75"/>
      <c r="M18" s="75"/>
      <c r="N18" s="75"/>
      <c r="O18" s="75"/>
      <c r="P18" s="67"/>
      <c r="Q18" s="67"/>
      <c r="R18" s="67"/>
      <c r="S18" s="67"/>
      <c r="T18" s="67"/>
      <c r="U18" s="67"/>
      <c r="V18" s="67"/>
      <c r="W18" s="67"/>
      <c r="X18" s="67"/>
      <c r="Y18" s="67"/>
      <c r="Z18" s="67"/>
    </row>
    <row r="19" spans="1:26" ht="12.75" customHeight="1" x14ac:dyDescent="0.2">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spans="1:26" ht="12.75" customHeight="1" x14ac:dyDescent="0.2">
      <c r="A20" s="76"/>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spans="1:26" ht="12.75" customHeight="1" x14ac:dyDescent="0.2">
      <c r="A21" s="76"/>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spans="1:26" ht="12.75" customHeight="1" x14ac:dyDescent="0.2">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spans="1:26" ht="12.75" customHeight="1" x14ac:dyDescent="0.2">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spans="1:26" ht="12.75" customHeight="1" x14ac:dyDescent="0.2">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spans="1:26" ht="12.75" customHeight="1" x14ac:dyDescent="0.2">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spans="1:26" ht="12.75" customHeight="1" x14ac:dyDescent="0.2">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spans="1:26" ht="12.75" customHeight="1" x14ac:dyDescent="0.2">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spans="1:26" ht="12.75" customHeight="1" x14ac:dyDescent="0.2">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spans="1:26" ht="12.75" customHeight="1" x14ac:dyDescent="0.2">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spans="1:26" ht="12.75" customHeight="1" x14ac:dyDescent="0.2">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spans="1:26" ht="12.75" customHeight="1" x14ac:dyDescent="0.2">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spans="1:26" ht="12.75" customHeight="1" x14ac:dyDescent="0.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spans="1:26" ht="12.75" customHeight="1" x14ac:dyDescent="0.2">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spans="1:26" ht="12.75" customHeight="1" x14ac:dyDescent="0.2">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spans="1:26" ht="12.75" customHeight="1" x14ac:dyDescent="0.2">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spans="1:26" ht="12.75" customHeight="1" x14ac:dyDescent="0.2">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spans="1:26" ht="12.75" customHeight="1" x14ac:dyDescent="0.2">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spans="1:26" ht="12.75" customHeight="1" x14ac:dyDescent="0.2">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spans="1:26" ht="12.75" customHeight="1" x14ac:dyDescent="0.2">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spans="1:26" ht="12.75" customHeight="1" x14ac:dyDescent="0.2">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spans="1:26" ht="12.75" customHeight="1" x14ac:dyDescent="0.2">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spans="1:26" ht="12.75" customHeight="1" x14ac:dyDescent="0.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spans="1:26" ht="12.75" customHeight="1" x14ac:dyDescent="0.2">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spans="1:26" ht="12.75" customHeight="1" x14ac:dyDescent="0.2">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spans="1:26" ht="12.75" customHeight="1" x14ac:dyDescent="0.2">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spans="1:26" ht="12.75" customHeight="1" x14ac:dyDescent="0.2">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spans="1:26" ht="12.75" customHeight="1" x14ac:dyDescent="0.2">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spans="1:26" ht="12.75" customHeight="1" x14ac:dyDescent="0.2">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spans="1:26" ht="12.75" customHeight="1" x14ac:dyDescent="0.2">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spans="1:26" ht="12.75" customHeight="1" x14ac:dyDescent="0.2">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spans="1:26" ht="12.75" customHeight="1" x14ac:dyDescent="0.2">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spans="1:26" ht="12.75" customHeight="1" x14ac:dyDescent="0.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spans="1:26" ht="12.75" customHeight="1" x14ac:dyDescent="0.2">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spans="1:26" ht="12.75" customHeight="1" x14ac:dyDescent="0.2">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spans="1:26" ht="12.75" customHeight="1" x14ac:dyDescent="0.2">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spans="1:26" ht="12.75" customHeight="1" x14ac:dyDescent="0.2">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spans="1:26" ht="12.75" customHeight="1" x14ac:dyDescent="0.2">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spans="1:26" ht="12.75" customHeight="1" x14ac:dyDescent="0.2">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spans="1:26" ht="12.75" customHeight="1" x14ac:dyDescent="0.2">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ht="12.75" customHeight="1" x14ac:dyDescent="0.2">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spans="1:26" ht="12.75" customHeight="1" x14ac:dyDescent="0.2">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ht="12.75" customHeight="1" x14ac:dyDescent="0.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spans="1:26" ht="12.75" customHeight="1" x14ac:dyDescent="0.2">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spans="1:26" ht="12.75" customHeight="1" x14ac:dyDescent="0.2">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spans="1:26" ht="12.75" customHeight="1" x14ac:dyDescent="0.2">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spans="1:26" ht="12.75" customHeight="1" x14ac:dyDescent="0.2">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spans="1:26" ht="12.75" customHeight="1" x14ac:dyDescent="0.2">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spans="1:26" ht="12.75" customHeight="1" x14ac:dyDescent="0.2">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spans="1:26" ht="12.75" customHeight="1" x14ac:dyDescent="0.2">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spans="1:26" ht="12.75" customHeight="1" x14ac:dyDescent="0.2">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ht="12.75" customHeight="1" x14ac:dyDescent="0.2">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ht="12.75" customHeight="1" x14ac:dyDescent="0.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ht="12.75" customHeight="1" x14ac:dyDescent="0.2">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ht="12.75" customHeight="1" x14ac:dyDescent="0.2">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ht="12.75" customHeight="1" x14ac:dyDescent="0.2">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ht="12.75" customHeight="1" x14ac:dyDescent="0.2">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ht="12.75" customHeight="1" x14ac:dyDescent="0.2">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ht="12.75" customHeight="1" x14ac:dyDescent="0.2">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ht="12.75" customHeight="1" x14ac:dyDescent="0.2">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ht="12.75" customHeight="1" x14ac:dyDescent="0.2">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ht="12.75" customHeight="1" x14ac:dyDescent="0.2">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ht="12.75" customHeight="1" x14ac:dyDescent="0.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ht="12.75" customHeight="1" x14ac:dyDescent="0.2">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ht="12.75" customHeight="1" x14ac:dyDescent="0.2">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ht="12.75" customHeight="1" x14ac:dyDescent="0.2">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ht="12.75" customHeight="1" x14ac:dyDescent="0.2">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ht="12.75" customHeight="1" x14ac:dyDescent="0.2">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ht="12.75" customHeight="1" x14ac:dyDescent="0.2">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ht="12.75" customHeight="1" x14ac:dyDescent="0.2">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ht="12.75" customHeight="1" x14ac:dyDescent="0.2">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ht="12.75" customHeight="1" x14ac:dyDescent="0.2">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ht="12.75" customHeight="1" x14ac:dyDescent="0.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ht="12.75" customHeight="1" x14ac:dyDescent="0.2">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ht="12.75" customHeight="1" x14ac:dyDescent="0.2">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ht="12.75" customHeight="1" x14ac:dyDescent="0.2">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ht="12.75" customHeight="1" x14ac:dyDescent="0.2">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ht="12.75" customHeight="1" x14ac:dyDescent="0.2">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ht="12.75" customHeight="1" x14ac:dyDescent="0.2">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ht="12.75" customHeight="1" x14ac:dyDescent="0.2">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ht="12.75" customHeight="1" x14ac:dyDescent="0.2">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spans="1:26" ht="12.75" customHeight="1" x14ac:dyDescent="0.2">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spans="1:26" ht="12.75" customHeight="1" x14ac:dyDescent="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spans="1:26" ht="12.75" customHeight="1" x14ac:dyDescent="0.2">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spans="1:26" ht="12.75" customHeight="1" x14ac:dyDescent="0.2">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spans="1:26" ht="12.75" customHeight="1" x14ac:dyDescent="0.2">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spans="1:26" ht="12.75" customHeight="1" x14ac:dyDescent="0.2">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spans="1:26" ht="12.75" customHeight="1" x14ac:dyDescent="0.2">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spans="1:26" ht="12.75" customHeight="1" x14ac:dyDescent="0.2">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spans="1:26" ht="12.75" customHeight="1" x14ac:dyDescent="0.2">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spans="1:26" ht="12.75" customHeight="1" x14ac:dyDescent="0.2">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spans="1:26" ht="12.75" customHeight="1" x14ac:dyDescent="0.2">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spans="1:26" ht="12.75" customHeight="1" x14ac:dyDescent="0.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spans="1:26" ht="12.75" customHeight="1" x14ac:dyDescent="0.2">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spans="1:26" ht="12.75" customHeight="1" x14ac:dyDescent="0.2">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spans="1:26" ht="12.75" customHeight="1" x14ac:dyDescent="0.2">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spans="1:26" ht="12.75" customHeight="1" x14ac:dyDescent="0.2">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spans="1:26" ht="12.75" customHeight="1" x14ac:dyDescent="0.2">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spans="1:26" ht="12.75" customHeight="1" x14ac:dyDescent="0.2">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spans="1:26" ht="12.75" customHeight="1" x14ac:dyDescent="0.2">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spans="1:26" ht="12.75" customHeight="1" x14ac:dyDescent="0.2">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spans="1:26" ht="12.75" customHeight="1" x14ac:dyDescent="0.2">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spans="1:26" ht="12.75" customHeight="1" x14ac:dyDescent="0.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spans="1:26" ht="12.75" customHeight="1" x14ac:dyDescent="0.2">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spans="1:26" ht="12.75" customHeight="1" x14ac:dyDescent="0.2">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spans="1:26" ht="12.75" customHeight="1" x14ac:dyDescent="0.2">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spans="1:26" ht="12.75" customHeight="1" x14ac:dyDescent="0.2">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spans="1:26" ht="12.75" customHeight="1" x14ac:dyDescent="0.2">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spans="1:26" ht="12.75" customHeight="1" x14ac:dyDescent="0.2">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spans="1:26" ht="12.75" customHeight="1" x14ac:dyDescent="0.2">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spans="1:26" ht="12.75" customHeight="1" x14ac:dyDescent="0.2">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spans="1:26" ht="12.75" customHeight="1" x14ac:dyDescent="0.2">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spans="1:26" ht="12.75" customHeight="1" x14ac:dyDescent="0.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spans="1:26" ht="12.75" customHeight="1" x14ac:dyDescent="0.2">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spans="1:26" ht="12.75" customHeight="1" x14ac:dyDescent="0.2">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spans="1:26" ht="12.75" customHeight="1" x14ac:dyDescent="0.2">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spans="1:26" ht="12.75" customHeight="1" x14ac:dyDescent="0.2">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spans="1:26" ht="12.75" customHeight="1" x14ac:dyDescent="0.2">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spans="1:26" ht="12.75" customHeight="1" x14ac:dyDescent="0.2">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spans="1:26" ht="12.75" customHeight="1" x14ac:dyDescent="0.2">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spans="1:26" ht="12.75" customHeight="1" x14ac:dyDescent="0.2">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spans="1:26" ht="12.75" customHeight="1" x14ac:dyDescent="0.2">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spans="1:26" ht="12.75" customHeight="1" x14ac:dyDescent="0.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spans="1:26" ht="12.75" customHeight="1" x14ac:dyDescent="0.2">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spans="1:26" ht="12.75" customHeight="1" x14ac:dyDescent="0.2">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spans="1:26" ht="12.75" customHeight="1" x14ac:dyDescent="0.2">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spans="1:26" ht="12.75" customHeight="1" x14ac:dyDescent="0.2">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spans="1:26" ht="12.75" customHeight="1" x14ac:dyDescent="0.2">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spans="1:26" ht="12.75" customHeight="1" x14ac:dyDescent="0.2">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spans="1:26" ht="12.75" customHeight="1" x14ac:dyDescent="0.2">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spans="1:26" ht="12.75" customHeight="1" x14ac:dyDescent="0.2">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spans="1:26" ht="12.75" customHeight="1" x14ac:dyDescent="0.2">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spans="1:26" ht="12.75" customHeight="1" x14ac:dyDescent="0.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spans="1:26" ht="12.75" customHeight="1" x14ac:dyDescent="0.2">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spans="1:26" ht="12.75" customHeight="1" x14ac:dyDescent="0.2">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spans="1:26" ht="12.75" customHeight="1" x14ac:dyDescent="0.2">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spans="1:26" ht="12.75" customHeight="1" x14ac:dyDescent="0.2">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spans="1:26" ht="12.75" customHeight="1" x14ac:dyDescent="0.2">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spans="1:26" ht="12.75" customHeight="1" x14ac:dyDescent="0.2">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spans="1:26" ht="12.75" customHeight="1" x14ac:dyDescent="0.2">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spans="1:26" ht="12.75" customHeight="1" x14ac:dyDescent="0.2">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spans="1:26" ht="12.75" customHeight="1" x14ac:dyDescent="0.2">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spans="1:26" ht="12.75" customHeight="1" x14ac:dyDescent="0.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spans="1:26" ht="12.75" customHeight="1" x14ac:dyDescent="0.2">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spans="1:26" ht="12.75" customHeight="1" x14ac:dyDescent="0.2">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spans="1:26" ht="12.75" customHeight="1" x14ac:dyDescent="0.2">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spans="1:26" ht="12.75" customHeight="1" x14ac:dyDescent="0.2">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spans="1:26" ht="12.75" customHeight="1" x14ac:dyDescent="0.2">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spans="1:26" ht="12.75" customHeight="1" x14ac:dyDescent="0.2">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spans="1:26" ht="12.75" customHeight="1" x14ac:dyDescent="0.2">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spans="1:26" ht="12.75" customHeight="1" x14ac:dyDescent="0.2">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spans="1:26" ht="12.75" customHeight="1" x14ac:dyDescent="0.2">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spans="1:26" ht="12.75" customHeight="1" x14ac:dyDescent="0.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spans="1:26" ht="12.75" customHeight="1" x14ac:dyDescent="0.2">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spans="1:26" ht="12.75" customHeight="1" x14ac:dyDescent="0.2">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spans="1:26" ht="12.75" customHeight="1" x14ac:dyDescent="0.2">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spans="1:26" ht="12.75" customHeight="1" x14ac:dyDescent="0.2">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spans="1:26" ht="12.75" customHeight="1" x14ac:dyDescent="0.2">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spans="1:26" ht="12.75" customHeight="1" x14ac:dyDescent="0.2">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spans="1:26" ht="12.75" customHeight="1" x14ac:dyDescent="0.2">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spans="1:26" ht="12.75" customHeight="1" x14ac:dyDescent="0.2">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spans="1:26" ht="12.75" customHeight="1" x14ac:dyDescent="0.2">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spans="1:26" ht="12.75" customHeight="1" x14ac:dyDescent="0.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spans="1:26" ht="12.75" customHeight="1" x14ac:dyDescent="0.2">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spans="1:26" ht="12.75" customHeight="1" x14ac:dyDescent="0.2">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spans="1:26" ht="12.75" customHeight="1" x14ac:dyDescent="0.2">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spans="1:26" ht="12.75" customHeight="1" x14ac:dyDescent="0.2">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spans="1:26" ht="12.75" customHeight="1" x14ac:dyDescent="0.2">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spans="1:26" ht="12.75" customHeight="1" x14ac:dyDescent="0.2">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spans="1:26" ht="12.75" customHeight="1" x14ac:dyDescent="0.2">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spans="1:26" ht="12.75" customHeight="1" x14ac:dyDescent="0.2">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spans="1:26" ht="12.75" customHeight="1" x14ac:dyDescent="0.2">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spans="1:26" ht="12.75" customHeight="1" x14ac:dyDescent="0.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spans="1:26" ht="12.75" customHeight="1" x14ac:dyDescent="0.2">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spans="1:26" ht="12.75" customHeight="1" x14ac:dyDescent="0.2">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spans="1:26" ht="12.75" customHeight="1" x14ac:dyDescent="0.2">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spans="1:26" ht="12.75" customHeight="1" x14ac:dyDescent="0.2">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spans="1:26" ht="12.75" customHeight="1" x14ac:dyDescent="0.2">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spans="1:26" ht="12.75" customHeight="1" x14ac:dyDescent="0.2">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spans="1:26" ht="12.75" customHeight="1" x14ac:dyDescent="0.2">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spans="1:26" ht="12.75" customHeight="1" x14ac:dyDescent="0.2">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spans="1:26" ht="12.75" customHeight="1" x14ac:dyDescent="0.2">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spans="1:26" ht="12.75" customHeight="1" x14ac:dyDescent="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spans="1:26" ht="12.75" customHeight="1" x14ac:dyDescent="0.2">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spans="1:26" ht="12.75" customHeight="1" x14ac:dyDescent="0.2">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spans="1:26" ht="12.75" customHeight="1" x14ac:dyDescent="0.2">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spans="1:26" ht="12.75" customHeight="1" x14ac:dyDescent="0.2">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spans="1:26" ht="12.75" customHeight="1" x14ac:dyDescent="0.2">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spans="1:26" ht="12.75" customHeight="1" x14ac:dyDescent="0.2">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spans="1:26" ht="12.75" customHeight="1" x14ac:dyDescent="0.2">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spans="1:26" ht="12.75" customHeight="1" x14ac:dyDescent="0.2">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spans="1:26" ht="12.75" customHeight="1" x14ac:dyDescent="0.2">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spans="1:26" ht="12.75" customHeight="1" x14ac:dyDescent="0.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spans="1:26" ht="12.75" customHeight="1" x14ac:dyDescent="0.2">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ht="12.75" customHeight="1" x14ac:dyDescent="0.2">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ht="12.75" customHeight="1" x14ac:dyDescent="0.2">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ht="12.75" customHeight="1" x14ac:dyDescent="0.2">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ht="12.75" customHeight="1" x14ac:dyDescent="0.2">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ht="12.75" customHeight="1" x14ac:dyDescent="0.2">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spans="1:26" ht="12.75" customHeight="1" x14ac:dyDescent="0.2">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spans="1:26" ht="12.75" customHeight="1" x14ac:dyDescent="0.2">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spans="1:26" ht="12.75" customHeight="1" x14ac:dyDescent="0.2">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spans="1:26" ht="12.75" customHeight="1" x14ac:dyDescent="0.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spans="1:26" ht="12.75" customHeight="1" x14ac:dyDescent="0.2">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spans="1:26" ht="12.75" customHeight="1" x14ac:dyDescent="0.2">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spans="1:26" ht="12.75" customHeight="1" x14ac:dyDescent="0.2">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spans="1:26" ht="12.75" customHeight="1" x14ac:dyDescent="0.2">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spans="1:26" ht="12.75" customHeight="1" x14ac:dyDescent="0.2">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spans="1:26" ht="12.75" customHeight="1" x14ac:dyDescent="0.2">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spans="1:26" ht="12.75" customHeight="1" x14ac:dyDescent="0.2">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spans="1:26" ht="12.75" customHeight="1" x14ac:dyDescent="0.2">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spans="1:26" ht="12.75" customHeight="1" x14ac:dyDescent="0.2">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spans="1:26" ht="12.75" customHeight="1" x14ac:dyDescent="0.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spans="1:26" ht="12.75" customHeight="1" x14ac:dyDescent="0.2">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spans="1:26" ht="12.75" customHeight="1" x14ac:dyDescent="0.2">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spans="1:26" ht="12.75" customHeight="1" x14ac:dyDescent="0.2">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spans="1:26" ht="12.75" customHeight="1" x14ac:dyDescent="0.2">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spans="1:26" ht="12.75" customHeight="1" x14ac:dyDescent="0.2">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spans="1:26" ht="12.75" customHeight="1" x14ac:dyDescent="0.2">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spans="1:26" ht="12.75" customHeight="1" x14ac:dyDescent="0.2">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spans="1:26" ht="12.75" customHeight="1" x14ac:dyDescent="0.2">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spans="1:26" ht="12.75" customHeight="1" x14ac:dyDescent="0.2">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spans="1:26" ht="12.75" customHeight="1" x14ac:dyDescent="0.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spans="1:26" ht="12.75" customHeight="1" x14ac:dyDescent="0.2">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spans="1:26" ht="12.75" customHeight="1" x14ac:dyDescent="0.2">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spans="1:26" ht="12.75" customHeight="1" x14ac:dyDescent="0.2">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spans="1:26" ht="12.75" customHeight="1" x14ac:dyDescent="0.2">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spans="1:26" ht="12.75" customHeight="1" x14ac:dyDescent="0.2">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spans="1:26" ht="12.75" customHeight="1" x14ac:dyDescent="0.2">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spans="1:26" ht="12.75" customHeight="1" x14ac:dyDescent="0.2">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spans="1:26" ht="12.75" customHeight="1" x14ac:dyDescent="0.2">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spans="1:26" ht="12.75" customHeight="1" x14ac:dyDescent="0.2">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spans="1:26" ht="12.75" customHeight="1" x14ac:dyDescent="0.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spans="1:26" ht="12.75" customHeight="1" x14ac:dyDescent="0.2">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spans="1:26" ht="12.75" customHeight="1" x14ac:dyDescent="0.2">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spans="1:26" ht="12.75" customHeight="1" x14ac:dyDescent="0.2">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spans="1:26" ht="12.75" customHeight="1" x14ac:dyDescent="0.2">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spans="1:26" ht="12.75" customHeight="1" x14ac:dyDescent="0.2">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spans="1:26" ht="12.75" customHeight="1" x14ac:dyDescent="0.2">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spans="1:26" ht="12.75" customHeight="1" x14ac:dyDescent="0.2">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spans="1:26" ht="12.75" customHeight="1" x14ac:dyDescent="0.2">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spans="1:26" ht="12.75" customHeight="1" x14ac:dyDescent="0.2">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spans="1:26" ht="12.75" customHeight="1" x14ac:dyDescent="0.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spans="1:26" ht="12.75" customHeight="1" x14ac:dyDescent="0.2">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spans="1:26" ht="12.75" customHeight="1" x14ac:dyDescent="0.2">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spans="1:26" ht="12.75" customHeight="1" x14ac:dyDescent="0.2">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spans="1:26" ht="12.75" customHeight="1" x14ac:dyDescent="0.2">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spans="1:26" ht="12.75" customHeight="1" x14ac:dyDescent="0.2">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spans="1:26" ht="12.75" customHeight="1" x14ac:dyDescent="0.2">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spans="1:26" ht="12.75" customHeight="1" x14ac:dyDescent="0.2">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spans="1:26" ht="12.75" customHeight="1" x14ac:dyDescent="0.2">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spans="1:26" ht="12.75" customHeight="1" x14ac:dyDescent="0.2">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spans="1:26" ht="12.75" customHeight="1" x14ac:dyDescent="0.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spans="1:26" ht="12.75" customHeight="1" x14ac:dyDescent="0.2">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spans="1:26" ht="12.75" customHeight="1" x14ac:dyDescent="0.2">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spans="1:26" ht="12.75" customHeight="1" x14ac:dyDescent="0.2">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spans="1:26" ht="12.75" customHeight="1" x14ac:dyDescent="0.2">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spans="1:26" ht="12.75" customHeight="1" x14ac:dyDescent="0.2">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spans="1:26" ht="12.75" customHeight="1" x14ac:dyDescent="0.2">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spans="1:26" ht="12.75" customHeight="1" x14ac:dyDescent="0.2">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spans="1:26" ht="12.75" customHeight="1" x14ac:dyDescent="0.2">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spans="1:26" ht="12.75" customHeight="1" x14ac:dyDescent="0.2">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spans="1:26" ht="12.75" customHeight="1" x14ac:dyDescent="0.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spans="1:26" ht="12.75" customHeight="1" x14ac:dyDescent="0.2">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spans="1:26" ht="12.75" customHeight="1" x14ac:dyDescent="0.2">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spans="1:26" ht="12.75" customHeight="1" x14ac:dyDescent="0.2">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spans="1:26" ht="12.75" customHeight="1" x14ac:dyDescent="0.2">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spans="1:26" ht="12.75" customHeight="1" x14ac:dyDescent="0.2">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spans="1:26" ht="12.75" customHeight="1" x14ac:dyDescent="0.2">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spans="1:26" ht="12.75" customHeight="1" x14ac:dyDescent="0.2">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spans="1:26" ht="12.75" customHeight="1" x14ac:dyDescent="0.2">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spans="1:26" ht="12.75" customHeight="1" x14ac:dyDescent="0.2">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spans="1:26" ht="12.75" customHeight="1" x14ac:dyDescent="0.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spans="1:26" ht="12.75" customHeight="1" x14ac:dyDescent="0.2">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spans="1:26" ht="12.75" customHeight="1" x14ac:dyDescent="0.2">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spans="1:26" ht="12.75" customHeight="1" x14ac:dyDescent="0.2">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spans="1:26" ht="12.75" customHeight="1" x14ac:dyDescent="0.2">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spans="1:26" ht="12.75" customHeight="1" x14ac:dyDescent="0.2">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spans="1:26" ht="12.75" customHeight="1" x14ac:dyDescent="0.2">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spans="1:26" ht="12.75" customHeight="1" x14ac:dyDescent="0.2">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spans="1:26" ht="12.75" customHeight="1" x14ac:dyDescent="0.2">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spans="1:26" ht="12.75" customHeight="1" x14ac:dyDescent="0.2">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spans="1:26" ht="12.75" customHeight="1" x14ac:dyDescent="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spans="1:26" ht="12.75" customHeight="1" x14ac:dyDescent="0.2">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spans="1:26" ht="12.75" customHeight="1" x14ac:dyDescent="0.2">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spans="1:26" ht="12.75" customHeight="1" x14ac:dyDescent="0.2">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spans="1:26" ht="12.75" customHeight="1" x14ac:dyDescent="0.2">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spans="1:26" ht="12.75" customHeight="1" x14ac:dyDescent="0.2">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spans="1:26" ht="12.75" customHeight="1" x14ac:dyDescent="0.2">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spans="1:26" ht="12.75" customHeight="1" x14ac:dyDescent="0.2">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spans="1:26" ht="12.75" customHeight="1" x14ac:dyDescent="0.2">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spans="1:26" ht="12.75" customHeight="1" x14ac:dyDescent="0.2">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spans="1:26" ht="12.75" customHeight="1" x14ac:dyDescent="0.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spans="1:26" ht="12.75" customHeight="1" x14ac:dyDescent="0.2">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spans="1:26" ht="12.75" customHeight="1" x14ac:dyDescent="0.2">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spans="1:26" ht="12.75" customHeight="1" x14ac:dyDescent="0.2">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spans="1:26" ht="12.75" customHeight="1" x14ac:dyDescent="0.2">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spans="1:26" ht="12.75" customHeight="1" x14ac:dyDescent="0.2">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spans="1:26" ht="12.75" customHeight="1" x14ac:dyDescent="0.2">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spans="1:26" ht="12.75" customHeight="1" x14ac:dyDescent="0.2">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spans="1:26" ht="12.75" customHeight="1" x14ac:dyDescent="0.2">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spans="1:26" ht="12.75" customHeight="1" x14ac:dyDescent="0.2">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spans="1:26" ht="12.75" customHeight="1" x14ac:dyDescent="0.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spans="1:26" ht="12.75" customHeight="1" x14ac:dyDescent="0.2">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spans="1:26" ht="12.75" customHeight="1" x14ac:dyDescent="0.2">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spans="1:26" ht="12.75" customHeight="1" x14ac:dyDescent="0.2">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spans="1:26" ht="12.75" customHeight="1" x14ac:dyDescent="0.2">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spans="1:26" ht="12.75" customHeight="1" x14ac:dyDescent="0.2">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spans="1:26" ht="12.75" customHeight="1" x14ac:dyDescent="0.2">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spans="1:26" ht="12.75" customHeight="1" x14ac:dyDescent="0.2">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spans="1:26" ht="12.75" customHeight="1" x14ac:dyDescent="0.2">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spans="1:26" ht="12.75" customHeight="1" x14ac:dyDescent="0.2">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spans="1:26" ht="12.75" customHeight="1" x14ac:dyDescent="0.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spans="1:26" ht="12.75" customHeight="1" x14ac:dyDescent="0.2">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spans="1:26" ht="12.75" customHeight="1" x14ac:dyDescent="0.2">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spans="1:26" ht="12.75" customHeight="1" x14ac:dyDescent="0.2">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spans="1:26" ht="12.75" customHeight="1" x14ac:dyDescent="0.2">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spans="1:26" ht="12.75" customHeight="1" x14ac:dyDescent="0.2">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spans="1:26" ht="12.75" customHeight="1" x14ac:dyDescent="0.2">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spans="1:26" ht="12.75" customHeight="1" x14ac:dyDescent="0.2">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spans="1:26" ht="12.75" customHeight="1" x14ac:dyDescent="0.2">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spans="1:26" ht="12.75" customHeight="1" x14ac:dyDescent="0.2">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spans="1:26" ht="12.75" customHeight="1" x14ac:dyDescent="0.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spans="1:26" ht="12.75" customHeight="1" x14ac:dyDescent="0.2">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spans="1:26" ht="12.75" customHeight="1" x14ac:dyDescent="0.2">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spans="1:26" ht="12.75" customHeight="1" x14ac:dyDescent="0.2">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spans="1:26" ht="12.75" customHeight="1" x14ac:dyDescent="0.2">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spans="1:26" ht="12.75" customHeight="1" x14ac:dyDescent="0.2">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spans="1:26" ht="12.75" customHeight="1" x14ac:dyDescent="0.2">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spans="1:26" ht="12.75" customHeight="1" x14ac:dyDescent="0.2">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spans="1:26" ht="12.75" customHeight="1" x14ac:dyDescent="0.2">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spans="1:26" ht="12.75" customHeight="1" x14ac:dyDescent="0.2">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spans="1:26" ht="12.75" customHeight="1" x14ac:dyDescent="0.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spans="1:26" ht="12.75" customHeight="1" x14ac:dyDescent="0.2">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spans="1:26" ht="12.75" customHeight="1" x14ac:dyDescent="0.2">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spans="1:26" ht="12.75" customHeight="1" x14ac:dyDescent="0.2">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spans="1:26" ht="12.75" customHeight="1" x14ac:dyDescent="0.2">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spans="1:26" ht="12.75" customHeight="1" x14ac:dyDescent="0.2">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spans="1:26" ht="12.75" customHeight="1" x14ac:dyDescent="0.2">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spans="1:26" ht="12.75" customHeight="1" x14ac:dyDescent="0.2">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spans="1:26" ht="12.75" customHeight="1" x14ac:dyDescent="0.2">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spans="1:26" ht="12.75" customHeight="1" x14ac:dyDescent="0.2">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spans="1:26" ht="12.75" customHeight="1" x14ac:dyDescent="0.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spans="1:26" ht="12.75" customHeight="1" x14ac:dyDescent="0.2">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spans="1:26" ht="12.75" customHeight="1" x14ac:dyDescent="0.2">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spans="1:26" ht="12.75" customHeight="1" x14ac:dyDescent="0.2">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spans="1:26" ht="12.75" customHeight="1" x14ac:dyDescent="0.2">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spans="1:26" ht="12.75" customHeight="1" x14ac:dyDescent="0.2">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spans="1:26" ht="12.75" customHeight="1" x14ac:dyDescent="0.2">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spans="1:26" ht="12.75" customHeight="1" x14ac:dyDescent="0.2">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spans="1:26" ht="12.75" customHeight="1" x14ac:dyDescent="0.2">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spans="1:26" ht="12.75" customHeight="1" x14ac:dyDescent="0.2">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spans="1:26" ht="12.75" customHeight="1" x14ac:dyDescent="0.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spans="1:26" ht="12.75" customHeight="1" x14ac:dyDescent="0.2">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spans="1:26" ht="12.75" customHeight="1" x14ac:dyDescent="0.2">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spans="1:26" ht="12.75" customHeight="1" x14ac:dyDescent="0.2">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spans="1:26" ht="12.75" customHeight="1" x14ac:dyDescent="0.2">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spans="1:26" ht="12.75" customHeight="1" x14ac:dyDescent="0.2">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spans="1:26" ht="12.75" customHeight="1" x14ac:dyDescent="0.2">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spans="1:26" ht="12.75" customHeight="1" x14ac:dyDescent="0.2">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spans="1:26" ht="12.75" customHeight="1" x14ac:dyDescent="0.2">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spans="1:26" ht="12.75" customHeight="1" x14ac:dyDescent="0.2">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spans="1:26" ht="12.75" customHeight="1" x14ac:dyDescent="0.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spans="1:26" ht="12.75" customHeight="1" x14ac:dyDescent="0.2">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spans="1:26" ht="12.75" customHeight="1" x14ac:dyDescent="0.2">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spans="1:26" ht="12.75" customHeight="1" x14ac:dyDescent="0.2">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spans="1:26" ht="12.75" customHeight="1" x14ac:dyDescent="0.2">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spans="1:26" ht="12.75" customHeight="1" x14ac:dyDescent="0.2">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spans="1:26" ht="12.75" customHeight="1" x14ac:dyDescent="0.2">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spans="1:26" ht="12.75" customHeight="1" x14ac:dyDescent="0.2">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spans="1:26" ht="12.75" customHeight="1" x14ac:dyDescent="0.2">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spans="1:26" ht="12.75" customHeight="1" x14ac:dyDescent="0.2">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spans="1:26" ht="12.75" customHeight="1" x14ac:dyDescent="0.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spans="1:26" ht="12.75" customHeight="1" x14ac:dyDescent="0.2">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spans="1:26" ht="12.75" customHeight="1" x14ac:dyDescent="0.2">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spans="1:26" ht="12.75" customHeight="1" x14ac:dyDescent="0.2">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spans="1:26" ht="12.75" customHeight="1" x14ac:dyDescent="0.2">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spans="1:26" ht="12.75" customHeight="1" x14ac:dyDescent="0.2">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spans="1:26" ht="12.75" customHeight="1" x14ac:dyDescent="0.2">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spans="1:26" ht="12.75" customHeight="1" x14ac:dyDescent="0.2">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spans="1:26" ht="12.75" customHeight="1" x14ac:dyDescent="0.2">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spans="1:26" ht="12.75" customHeight="1" x14ac:dyDescent="0.2">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spans="1:26" ht="12.75" customHeight="1" x14ac:dyDescent="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spans="1:26" ht="12.75" customHeight="1" x14ac:dyDescent="0.2">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spans="1:26" ht="12.75" customHeight="1" x14ac:dyDescent="0.2">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spans="1:26" ht="12.75" customHeight="1" x14ac:dyDescent="0.2">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spans="1:26" ht="12.75" customHeight="1" x14ac:dyDescent="0.2">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spans="1:26" ht="12.75" customHeight="1" x14ac:dyDescent="0.2">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spans="1:26" ht="12.75" customHeight="1" x14ac:dyDescent="0.2">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spans="1:26" ht="12.75" customHeight="1" x14ac:dyDescent="0.2">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spans="1:26" ht="12.75" customHeight="1" x14ac:dyDescent="0.2">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spans="1:26" ht="12.75" customHeight="1" x14ac:dyDescent="0.2">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spans="1:26" ht="12.75" customHeight="1" x14ac:dyDescent="0.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spans="1:26" ht="12.75" customHeight="1" x14ac:dyDescent="0.2">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spans="1:26" ht="12.75" customHeight="1" x14ac:dyDescent="0.2">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spans="1:26" ht="12.75" customHeight="1" x14ac:dyDescent="0.2">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spans="1:26" ht="12.75" customHeight="1" x14ac:dyDescent="0.2">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spans="1:26" ht="12.75" customHeight="1" x14ac:dyDescent="0.2">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spans="1:26" ht="12.75" customHeight="1" x14ac:dyDescent="0.2">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spans="1:26" ht="12.75" customHeight="1" x14ac:dyDescent="0.2">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spans="1:26" ht="12.75" customHeight="1" x14ac:dyDescent="0.2">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spans="1:26" ht="12.75" customHeight="1" x14ac:dyDescent="0.2">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spans="1:26" ht="12.75" customHeight="1" x14ac:dyDescent="0.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spans="1:26" ht="12.75" customHeight="1" x14ac:dyDescent="0.2">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spans="1:26" ht="12.75" customHeight="1" x14ac:dyDescent="0.2">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spans="1:26" ht="12.75" customHeight="1" x14ac:dyDescent="0.2">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spans="1:26" ht="12.75" customHeight="1" x14ac:dyDescent="0.2">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spans="1:26" ht="12.75" customHeight="1" x14ac:dyDescent="0.2">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spans="1:26" ht="12.75" customHeight="1" x14ac:dyDescent="0.2">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spans="1:26" ht="12.75" customHeight="1" x14ac:dyDescent="0.2">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spans="1:26" ht="12.75" customHeight="1" x14ac:dyDescent="0.2">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spans="1:26" ht="12.75" customHeight="1" x14ac:dyDescent="0.2">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spans="1:26" ht="12.75" customHeight="1" x14ac:dyDescent="0.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spans="1:26" ht="12.75" customHeight="1" x14ac:dyDescent="0.2">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spans="1:26" ht="12.75" customHeight="1" x14ac:dyDescent="0.2">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spans="1:26" ht="12.75" customHeight="1" x14ac:dyDescent="0.2">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spans="1:26" ht="12.75" customHeight="1" x14ac:dyDescent="0.2">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spans="1:26" ht="12.75" customHeight="1" x14ac:dyDescent="0.2">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spans="1:26" ht="12.75" customHeight="1" x14ac:dyDescent="0.2">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spans="1:26" ht="12.75" customHeight="1" x14ac:dyDescent="0.2">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spans="1:26" ht="12.75" customHeight="1" x14ac:dyDescent="0.2">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spans="1:26" ht="12.75" customHeight="1" x14ac:dyDescent="0.2">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spans="1:26" ht="12.75" customHeight="1" x14ac:dyDescent="0.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spans="1:26" ht="12.75" customHeight="1" x14ac:dyDescent="0.2">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spans="1:26" ht="12.75" customHeight="1" x14ac:dyDescent="0.2">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spans="1:26" ht="12.75" customHeight="1" x14ac:dyDescent="0.2">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spans="1:26" ht="12.75" customHeight="1" x14ac:dyDescent="0.2">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spans="1:26" ht="12.75" customHeight="1" x14ac:dyDescent="0.2">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spans="1:26" ht="12.75" customHeight="1" x14ac:dyDescent="0.2">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spans="1:26" ht="12.75" customHeight="1" x14ac:dyDescent="0.2">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spans="1:26" ht="12.75" customHeight="1" x14ac:dyDescent="0.2">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spans="1:26" ht="12.75" customHeight="1" x14ac:dyDescent="0.2">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spans="1:26" ht="12.75" customHeight="1" x14ac:dyDescent="0.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spans="1:26" ht="12.75" customHeight="1" x14ac:dyDescent="0.2">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spans="1:26" ht="12.75" customHeight="1" x14ac:dyDescent="0.2">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spans="1:26" ht="12.75" customHeight="1" x14ac:dyDescent="0.2">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spans="1:26" ht="12.75" customHeight="1" x14ac:dyDescent="0.2">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spans="1:26" ht="12.75" customHeight="1" x14ac:dyDescent="0.2">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spans="1:26" ht="12.75" customHeight="1" x14ac:dyDescent="0.2">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spans="1:26" ht="12.75" customHeight="1" x14ac:dyDescent="0.2">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spans="1:26" ht="12.75" customHeight="1" x14ac:dyDescent="0.2">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spans="1:26" ht="12.75" customHeight="1" x14ac:dyDescent="0.2">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spans="1:26" ht="12.75" customHeight="1" x14ac:dyDescent="0.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spans="1:26" ht="12.75" customHeight="1" x14ac:dyDescent="0.2">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spans="1:26" ht="12.75" customHeight="1" x14ac:dyDescent="0.2">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spans="1:26" ht="12.75" customHeight="1" x14ac:dyDescent="0.2">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spans="1:26" ht="12.75" customHeight="1" x14ac:dyDescent="0.2">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spans="1:26" ht="12.75" customHeight="1" x14ac:dyDescent="0.2">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spans="1:26" ht="12.75" customHeight="1" x14ac:dyDescent="0.2">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spans="1:26" ht="12.75" customHeight="1" x14ac:dyDescent="0.2">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spans="1:26" ht="12.75" customHeight="1" x14ac:dyDescent="0.2">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spans="1:26" ht="12.75" customHeight="1" x14ac:dyDescent="0.2">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spans="1:26" ht="12.75" customHeight="1" x14ac:dyDescent="0.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spans="1:26" ht="12.75" customHeight="1" x14ac:dyDescent="0.2">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spans="1:26" ht="12.75" customHeight="1" x14ac:dyDescent="0.2">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spans="1:26" ht="12.75" customHeight="1" x14ac:dyDescent="0.2">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spans="1:26" ht="12.75" customHeight="1" x14ac:dyDescent="0.2">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spans="1:26" ht="12.75" customHeight="1" x14ac:dyDescent="0.2">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spans="1:26" ht="12.75" customHeight="1" x14ac:dyDescent="0.2">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spans="1:26" ht="12.75" customHeight="1" x14ac:dyDescent="0.2">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spans="1:26" ht="12.75" customHeight="1" x14ac:dyDescent="0.2">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spans="1:26" ht="12.75" customHeight="1" x14ac:dyDescent="0.2">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spans="1:26" ht="12.75" customHeight="1" x14ac:dyDescent="0.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spans="1:26" ht="12.75" customHeight="1" x14ac:dyDescent="0.2">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spans="1:26" ht="12.75" customHeight="1" x14ac:dyDescent="0.2">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spans="1:26" ht="12.75" customHeight="1" x14ac:dyDescent="0.2">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spans="1:26" ht="12.75" customHeight="1" x14ac:dyDescent="0.2">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spans="1:26" ht="12.75" customHeight="1" x14ac:dyDescent="0.2">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spans="1:26" ht="12.75" customHeight="1" x14ac:dyDescent="0.2">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spans="1:26" ht="12.75" customHeight="1" x14ac:dyDescent="0.2">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spans="1:26" ht="12.75" customHeight="1" x14ac:dyDescent="0.2">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spans="1:26" ht="12.75" customHeight="1" x14ac:dyDescent="0.2">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spans="1:26" ht="12.75" customHeight="1" x14ac:dyDescent="0.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spans="1:26" ht="12.75" customHeight="1" x14ac:dyDescent="0.2">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spans="1:26" ht="12.75" customHeight="1" x14ac:dyDescent="0.2">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spans="1:26" ht="12.75" customHeight="1" x14ac:dyDescent="0.2">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spans="1:26" ht="12.75" customHeight="1" x14ac:dyDescent="0.2">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spans="1:26" ht="12.75" customHeight="1" x14ac:dyDescent="0.2">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spans="1:26" ht="12.75" customHeight="1" x14ac:dyDescent="0.2">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spans="1:26" ht="12.75" customHeight="1" x14ac:dyDescent="0.2">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spans="1:26" ht="12.75" customHeight="1" x14ac:dyDescent="0.2">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spans="1:26" ht="12.75" customHeight="1" x14ac:dyDescent="0.2">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spans="1:26" ht="12.75" customHeight="1" x14ac:dyDescent="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spans="1:26" ht="12.75" customHeight="1" x14ac:dyDescent="0.2">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spans="1:26" ht="12.75" customHeight="1" x14ac:dyDescent="0.2">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spans="1:26" ht="12.75" customHeight="1" x14ac:dyDescent="0.2">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spans="1:26" ht="12.75" customHeight="1" x14ac:dyDescent="0.2">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spans="1:26" ht="12.75" customHeight="1" x14ac:dyDescent="0.2">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spans="1:26" ht="12.75" customHeight="1" x14ac:dyDescent="0.2">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spans="1:26" ht="12.75" customHeight="1" x14ac:dyDescent="0.2">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spans="1:26" ht="12.75" customHeight="1" x14ac:dyDescent="0.2">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spans="1:26" ht="12.75" customHeight="1" x14ac:dyDescent="0.2">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spans="1:26" ht="12.75" customHeight="1" x14ac:dyDescent="0.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spans="1:26" ht="12.75" customHeight="1" x14ac:dyDescent="0.2">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spans="1:26" ht="12.75" customHeight="1" x14ac:dyDescent="0.2">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spans="1:26" ht="12.75" customHeight="1" x14ac:dyDescent="0.2">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spans="1:26" ht="12.75" customHeight="1" x14ac:dyDescent="0.2">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spans="1:26" ht="12.75" customHeight="1" x14ac:dyDescent="0.2">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spans="1:26" ht="12.75" customHeight="1" x14ac:dyDescent="0.2">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spans="1:26" ht="12.75" customHeight="1" x14ac:dyDescent="0.2">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spans="1:26" ht="12.75" customHeight="1" x14ac:dyDescent="0.2">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spans="1:26" ht="12.75" customHeight="1" x14ac:dyDescent="0.2">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spans="1:26" ht="12.75" customHeight="1" x14ac:dyDescent="0.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spans="1:26" ht="12.75" customHeight="1" x14ac:dyDescent="0.2">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spans="1:26" ht="12.75" customHeight="1" x14ac:dyDescent="0.2">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spans="1:26" ht="12.75" customHeight="1" x14ac:dyDescent="0.2">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spans="1:26" ht="12.75" customHeight="1" x14ac:dyDescent="0.2">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spans="1:26" ht="12.75" customHeight="1" x14ac:dyDescent="0.2">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spans="1:26" ht="12.75" customHeight="1" x14ac:dyDescent="0.2">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spans="1:26" ht="12.75" customHeight="1" x14ac:dyDescent="0.2">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spans="1:26" ht="12.75" customHeight="1" x14ac:dyDescent="0.2">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spans="1:26" ht="12.75" customHeight="1" x14ac:dyDescent="0.2">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spans="1:26" ht="12.75" customHeight="1" x14ac:dyDescent="0.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spans="1:26" ht="12.75" customHeight="1" x14ac:dyDescent="0.2">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spans="1:26" ht="12.75" customHeight="1" x14ac:dyDescent="0.2">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spans="1:26" ht="12.75" customHeight="1" x14ac:dyDescent="0.2">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spans="1:26" ht="12.75" customHeight="1" x14ac:dyDescent="0.2">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spans="1:26" ht="12.75" customHeight="1" x14ac:dyDescent="0.2">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spans="1:26" ht="12.75" customHeight="1" x14ac:dyDescent="0.2">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spans="1:26" ht="12.75" customHeight="1" x14ac:dyDescent="0.2">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spans="1:26" ht="12.75" customHeight="1" x14ac:dyDescent="0.2">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spans="1:26" ht="12.75" customHeight="1" x14ac:dyDescent="0.2">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spans="1:26" ht="12.75" customHeight="1" x14ac:dyDescent="0.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spans="1:26" ht="12.75" customHeight="1" x14ac:dyDescent="0.2">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spans="1:26" ht="12.75" customHeight="1" x14ac:dyDescent="0.2">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spans="1:26" ht="12.75" customHeight="1" x14ac:dyDescent="0.2">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spans="1:26" ht="12.75" customHeight="1" x14ac:dyDescent="0.2">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spans="1:26" ht="12.75" customHeight="1" x14ac:dyDescent="0.2">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spans="1:26" ht="12.75" customHeight="1" x14ac:dyDescent="0.2">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spans="1:26" ht="12.75" customHeight="1" x14ac:dyDescent="0.2">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spans="1:26" ht="12.75" customHeight="1" x14ac:dyDescent="0.2">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spans="1:26" ht="12.75" customHeight="1" x14ac:dyDescent="0.2">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spans="1:26" ht="12.75" customHeight="1" x14ac:dyDescent="0.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spans="1:26" ht="12.75" customHeight="1" x14ac:dyDescent="0.2">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spans="1:26" ht="12.75" customHeight="1" x14ac:dyDescent="0.2">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spans="1:26" ht="12.75" customHeight="1" x14ac:dyDescent="0.2">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spans="1:26" ht="12.75" customHeight="1" x14ac:dyDescent="0.2">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spans="1:26" ht="12.75" customHeight="1" x14ac:dyDescent="0.2">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spans="1:26" ht="12.75" customHeight="1" x14ac:dyDescent="0.2">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spans="1:26" ht="12.75" customHeight="1" x14ac:dyDescent="0.2">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spans="1:26" ht="12.75" customHeight="1" x14ac:dyDescent="0.2">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spans="1:26" ht="12.75" customHeight="1" x14ac:dyDescent="0.2">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spans="1:26" ht="12.75" customHeight="1" x14ac:dyDescent="0.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spans="1:26" ht="12.75" customHeight="1" x14ac:dyDescent="0.2">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spans="1:26" ht="12.75" customHeight="1" x14ac:dyDescent="0.2">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spans="1:26" ht="12.75" customHeight="1" x14ac:dyDescent="0.2">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spans="1:26" ht="12.75" customHeight="1" x14ac:dyDescent="0.2">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spans="1:26" ht="12.75" customHeight="1" x14ac:dyDescent="0.2">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spans="1:26" ht="12.75" customHeight="1" x14ac:dyDescent="0.2">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spans="1:26" ht="12.75" customHeight="1" x14ac:dyDescent="0.2">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spans="1:26" ht="12.75" customHeight="1" x14ac:dyDescent="0.2">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spans="1:26" ht="12.75" customHeight="1" x14ac:dyDescent="0.2">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spans="1:26" ht="12.75" customHeight="1" x14ac:dyDescent="0.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spans="1:26" ht="12.75" customHeight="1" x14ac:dyDescent="0.2">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spans="1:26" ht="12.75" customHeight="1" x14ac:dyDescent="0.2">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spans="1:26" ht="12.75" customHeight="1" x14ac:dyDescent="0.2">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spans="1:26" ht="12.75" customHeight="1" x14ac:dyDescent="0.2">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spans="1:26" ht="12.75" customHeight="1" x14ac:dyDescent="0.2">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spans="1:26" ht="12.75" customHeight="1" x14ac:dyDescent="0.2">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spans="1:26" ht="12.75" customHeight="1" x14ac:dyDescent="0.2">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spans="1:26" ht="12.75" customHeight="1" x14ac:dyDescent="0.2">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spans="1:26" ht="12.75" customHeight="1" x14ac:dyDescent="0.2">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spans="1:26" ht="12.75" customHeight="1" x14ac:dyDescent="0.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spans="1:26" ht="12.75" customHeight="1" x14ac:dyDescent="0.2">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spans="1:26" ht="12.75" customHeight="1" x14ac:dyDescent="0.2">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spans="1:26" ht="12.75" customHeight="1" x14ac:dyDescent="0.2">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spans="1:26" ht="12.75" customHeight="1" x14ac:dyDescent="0.2">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spans="1:26" ht="12.75" customHeight="1" x14ac:dyDescent="0.2">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spans="1:26" ht="12.75" customHeight="1" x14ac:dyDescent="0.2">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spans="1:26" ht="12.75" customHeight="1" x14ac:dyDescent="0.2">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spans="1:26" ht="12.75" customHeight="1" x14ac:dyDescent="0.2">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spans="1:26" ht="12.75" customHeight="1" x14ac:dyDescent="0.2">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spans="1:26" ht="12.75" customHeight="1" x14ac:dyDescent="0.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spans="1:26" ht="12.75" customHeight="1" x14ac:dyDescent="0.2">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spans="1:26" ht="12.75" customHeight="1" x14ac:dyDescent="0.2">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spans="1:26" ht="12.75" customHeight="1" x14ac:dyDescent="0.2">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spans="1:26" ht="12.75" customHeight="1" x14ac:dyDescent="0.2">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spans="1:26" ht="12.75" customHeight="1" x14ac:dyDescent="0.2">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spans="1:26" ht="12.75" customHeight="1" x14ac:dyDescent="0.2">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spans="1:26" ht="12.75" customHeight="1" x14ac:dyDescent="0.2">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spans="1:26" ht="12.75" customHeight="1" x14ac:dyDescent="0.2">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spans="1:26" ht="12.75" customHeight="1" x14ac:dyDescent="0.2">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spans="1:26" ht="12.75" customHeight="1" x14ac:dyDescent="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spans="1:26" ht="12.75" customHeight="1" x14ac:dyDescent="0.2">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spans="1:26" ht="12.75" customHeight="1" x14ac:dyDescent="0.2">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spans="1:26" ht="12.75" customHeight="1" x14ac:dyDescent="0.2">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spans="1:26" ht="12.75" customHeight="1" x14ac:dyDescent="0.2">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spans="1:26" ht="12.75" customHeight="1" x14ac:dyDescent="0.2">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spans="1:26" ht="12.75" customHeight="1" x14ac:dyDescent="0.2">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spans="1:26" ht="12.75" customHeight="1" x14ac:dyDescent="0.2">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spans="1:26" ht="12.75" customHeight="1" x14ac:dyDescent="0.2">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spans="1:26" ht="12.75" customHeight="1" x14ac:dyDescent="0.2">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spans="1:26" ht="12.75" customHeight="1" x14ac:dyDescent="0.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spans="1:26" ht="12.75" customHeight="1" x14ac:dyDescent="0.2">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spans="1:26" ht="12.75" customHeight="1" x14ac:dyDescent="0.2">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spans="1:26" ht="12.75" customHeight="1" x14ac:dyDescent="0.2">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spans="1:26" ht="12.75" customHeight="1" x14ac:dyDescent="0.2">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spans="1:26" ht="12.75" customHeight="1" x14ac:dyDescent="0.2">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spans="1:26" ht="12.75" customHeight="1" x14ac:dyDescent="0.2">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spans="1:26" ht="12.75" customHeight="1" x14ac:dyDescent="0.2">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spans="1:26" ht="12.75" customHeight="1" x14ac:dyDescent="0.2">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spans="1:26" ht="12.75" customHeight="1" x14ac:dyDescent="0.2">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spans="1:26" ht="12.75" customHeight="1" x14ac:dyDescent="0.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spans="1:26" ht="12.75" customHeight="1" x14ac:dyDescent="0.2">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spans="1:26" ht="12.75" customHeight="1" x14ac:dyDescent="0.2">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spans="1:26" ht="12.75" customHeight="1" x14ac:dyDescent="0.2">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spans="1:26" ht="12.75" customHeight="1" x14ac:dyDescent="0.2">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spans="1:26" ht="12.75" customHeight="1" x14ac:dyDescent="0.2">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spans="1:26" ht="12.75" customHeight="1" x14ac:dyDescent="0.2">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spans="1:26" ht="12.75" customHeight="1" x14ac:dyDescent="0.2">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spans="1:26" ht="12.75" customHeight="1" x14ac:dyDescent="0.2">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spans="1:26" ht="12.75" customHeight="1" x14ac:dyDescent="0.2">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spans="1:26" ht="12.75" customHeight="1" x14ac:dyDescent="0.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spans="1:26" ht="12.75" customHeight="1" x14ac:dyDescent="0.2">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spans="1:26" ht="12.75" customHeight="1" x14ac:dyDescent="0.2">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spans="1:26" ht="12.75" customHeight="1" x14ac:dyDescent="0.2">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spans="1:26" ht="12.75" customHeight="1" x14ac:dyDescent="0.2">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spans="1:26" ht="12.75" customHeight="1" x14ac:dyDescent="0.2">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spans="1:26" ht="12.75" customHeight="1" x14ac:dyDescent="0.2">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spans="1:26" ht="12.75" customHeight="1" x14ac:dyDescent="0.2">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spans="1:26" ht="12.75" customHeight="1" x14ac:dyDescent="0.2">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spans="1:26" ht="12.75" customHeight="1" x14ac:dyDescent="0.2">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spans="1:26" ht="12.75" customHeight="1" x14ac:dyDescent="0.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spans="1:26" ht="12.75" customHeight="1" x14ac:dyDescent="0.2">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spans="1:26" ht="12.75" customHeight="1" x14ac:dyDescent="0.2">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spans="1:26" ht="12.75" customHeight="1" x14ac:dyDescent="0.2">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spans="1:26" ht="12.75" customHeight="1" x14ac:dyDescent="0.2">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spans="1:26" ht="12.75" customHeight="1" x14ac:dyDescent="0.2">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spans="1:26" ht="12.75" customHeight="1" x14ac:dyDescent="0.2">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spans="1:26" ht="12.75" customHeight="1" x14ac:dyDescent="0.2">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spans="1:26" ht="12.75" customHeight="1" x14ac:dyDescent="0.2">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spans="1:26" ht="12.75" customHeight="1" x14ac:dyDescent="0.2">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spans="1:26" ht="12.75" customHeight="1" x14ac:dyDescent="0.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spans="1:26" ht="12.75" customHeight="1" x14ac:dyDescent="0.2">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spans="1:26" ht="12.75" customHeight="1" x14ac:dyDescent="0.2">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spans="1:26" ht="12.75" customHeight="1" x14ac:dyDescent="0.2">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spans="1:26" ht="12.75" customHeight="1" x14ac:dyDescent="0.2">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spans="1:26" ht="12.75" customHeight="1" x14ac:dyDescent="0.2">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spans="1:26" ht="12.75" customHeight="1" x14ac:dyDescent="0.2">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spans="1:26" ht="12.75" customHeight="1" x14ac:dyDescent="0.2">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spans="1:26" ht="12.75" customHeight="1" x14ac:dyDescent="0.2">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spans="1:26" ht="12.75" customHeight="1" x14ac:dyDescent="0.2">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spans="1:26" ht="12.75" customHeight="1" x14ac:dyDescent="0.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spans="1:26" ht="12.75" customHeight="1" x14ac:dyDescent="0.2">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spans="1:26" ht="12.75" customHeight="1" x14ac:dyDescent="0.2">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spans="1:26" ht="12.75" customHeight="1" x14ac:dyDescent="0.2">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spans="1:26" ht="12.75" customHeight="1" x14ac:dyDescent="0.2">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spans="1:26" ht="12.75" customHeight="1" x14ac:dyDescent="0.2">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spans="1:26" ht="12.75" customHeight="1" x14ac:dyDescent="0.2">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spans="1:26" ht="12.75" customHeight="1" x14ac:dyDescent="0.2">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spans="1:26" ht="12.75" customHeight="1" x14ac:dyDescent="0.2">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spans="1:26" ht="12.75" customHeight="1" x14ac:dyDescent="0.2">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spans="1:26" ht="12.75" customHeight="1" x14ac:dyDescent="0.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spans="1:26" ht="12.75" customHeight="1" x14ac:dyDescent="0.2">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spans="1:26" ht="12.75" customHeight="1" x14ac:dyDescent="0.2">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spans="1:26" ht="12.75" customHeight="1" x14ac:dyDescent="0.2">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spans="1:26" ht="12.75" customHeight="1" x14ac:dyDescent="0.2">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spans="1:26" ht="12.75" customHeight="1" x14ac:dyDescent="0.2">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spans="1:26" ht="12.75" customHeight="1" x14ac:dyDescent="0.2">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spans="1:26" ht="12.75" customHeight="1" x14ac:dyDescent="0.2">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spans="1:26" ht="12.75" customHeight="1" x14ac:dyDescent="0.2">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spans="1:26" ht="12.75" customHeight="1" x14ac:dyDescent="0.2">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spans="1:26" ht="12.75" customHeight="1" x14ac:dyDescent="0.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spans="1:26" ht="12.75" customHeight="1" x14ac:dyDescent="0.2">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spans="1:26" ht="12.75" customHeight="1" x14ac:dyDescent="0.2">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spans="1:26" ht="12.75" customHeight="1" x14ac:dyDescent="0.2">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spans="1:26" ht="12.75" customHeight="1" x14ac:dyDescent="0.2">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spans="1:26" ht="12.75" customHeight="1" x14ac:dyDescent="0.2">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spans="1:26" ht="12.75" customHeight="1" x14ac:dyDescent="0.2">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spans="1:26" ht="12.75" customHeight="1" x14ac:dyDescent="0.2">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spans="1:26" ht="12.75" customHeight="1" x14ac:dyDescent="0.2">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spans="1:26" ht="12.75" customHeight="1" x14ac:dyDescent="0.2">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spans="1:26" ht="12.75" customHeight="1" x14ac:dyDescent="0.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spans="1:26" ht="12.75" customHeight="1" x14ac:dyDescent="0.2">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spans="1:26" ht="12.75" customHeight="1" x14ac:dyDescent="0.2">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spans="1:26" ht="12.75" customHeight="1" x14ac:dyDescent="0.2">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spans="1:26" ht="12.75" customHeight="1" x14ac:dyDescent="0.2">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spans="1:26" ht="12.75" customHeight="1" x14ac:dyDescent="0.2">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spans="1:26" ht="12.75" customHeight="1" x14ac:dyDescent="0.2">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spans="1:26" ht="12.75" customHeight="1" x14ac:dyDescent="0.2">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spans="1:26" ht="12.75" customHeight="1" x14ac:dyDescent="0.2">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spans="1:26" ht="12.75" customHeight="1" x14ac:dyDescent="0.2">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spans="1:26" ht="12.75" customHeight="1" x14ac:dyDescent="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spans="1:26" ht="12.75" customHeight="1" x14ac:dyDescent="0.2">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spans="1:26" ht="12.75" customHeight="1" x14ac:dyDescent="0.2">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spans="1:26" ht="12.75" customHeight="1" x14ac:dyDescent="0.2">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spans="1:26" ht="12.75" customHeight="1" x14ac:dyDescent="0.2">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spans="1:26" ht="12.75" customHeight="1" x14ac:dyDescent="0.2">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spans="1:26" ht="12.75" customHeight="1" x14ac:dyDescent="0.2">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spans="1:26" ht="12.75" customHeight="1" x14ac:dyDescent="0.2">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spans="1:26" ht="12.75" customHeight="1" x14ac:dyDescent="0.2">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spans="1:26" ht="12.75" customHeight="1" x14ac:dyDescent="0.2">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spans="1:26" ht="12.75" customHeight="1" x14ac:dyDescent="0.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spans="1:26" ht="12.75" customHeight="1" x14ac:dyDescent="0.2">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spans="1:26" ht="12.75" customHeight="1" x14ac:dyDescent="0.2">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spans="1:26" ht="12.75" customHeight="1" x14ac:dyDescent="0.2">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spans="1:26" ht="12.75" customHeight="1" x14ac:dyDescent="0.2">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spans="1:26" ht="12.75" customHeight="1" x14ac:dyDescent="0.2">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spans="1:26" ht="12.75" customHeight="1" x14ac:dyDescent="0.2">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spans="1:26" ht="12.75" customHeight="1" x14ac:dyDescent="0.2">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spans="1:26" ht="12.75" customHeight="1" x14ac:dyDescent="0.2">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spans="1:26" ht="12.75" customHeight="1" x14ac:dyDescent="0.2">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spans="1:26" ht="12.75" customHeight="1" x14ac:dyDescent="0.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spans="1:26" ht="12.75" customHeight="1" x14ac:dyDescent="0.2">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spans="1:26" ht="12.75" customHeight="1" x14ac:dyDescent="0.2">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spans="1:26" ht="12.75" customHeight="1" x14ac:dyDescent="0.2">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spans="1:26" ht="12.75" customHeight="1" x14ac:dyDescent="0.2">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spans="1:26" ht="12.75" customHeight="1" x14ac:dyDescent="0.2">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spans="1:26" ht="12.75" customHeight="1" x14ac:dyDescent="0.2">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spans="1:26" ht="12.75" customHeight="1" x14ac:dyDescent="0.2">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spans="1:26" ht="12.75" customHeight="1" x14ac:dyDescent="0.2">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spans="1:26" ht="12.75" customHeight="1" x14ac:dyDescent="0.2">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spans="1:26" ht="12.75" customHeight="1" x14ac:dyDescent="0.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spans="1:26" ht="12.75" customHeight="1" x14ac:dyDescent="0.2">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spans="1:26" ht="12.75" customHeight="1" x14ac:dyDescent="0.2">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spans="1:26" ht="12.75" customHeight="1" x14ac:dyDescent="0.2">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spans="1:26" ht="12.75" customHeight="1" x14ac:dyDescent="0.2">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spans="1:26" ht="12.75" customHeight="1" x14ac:dyDescent="0.2">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spans="1:26" ht="12.75" customHeight="1" x14ac:dyDescent="0.2">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spans="1:26" ht="12.75" customHeight="1" x14ac:dyDescent="0.2">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spans="1:26" ht="12.75" customHeight="1" x14ac:dyDescent="0.2">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spans="1:26" ht="12.75" customHeight="1" x14ac:dyDescent="0.2">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spans="1:26" ht="12.75" customHeight="1" x14ac:dyDescent="0.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spans="1:26" ht="12.75" customHeight="1" x14ac:dyDescent="0.2">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spans="1:26" ht="12.75" customHeight="1" x14ac:dyDescent="0.2">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spans="1:26" ht="12.75" customHeight="1" x14ac:dyDescent="0.2">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spans="1:26" ht="12.75" customHeight="1" x14ac:dyDescent="0.2">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spans="1:26" ht="12.75" customHeight="1" x14ac:dyDescent="0.2">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spans="1:26" ht="12.75" customHeight="1" x14ac:dyDescent="0.2">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spans="1:26" ht="12.75" customHeight="1" x14ac:dyDescent="0.2">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spans="1:26" ht="12.75" customHeight="1" x14ac:dyDescent="0.2">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spans="1:26" ht="12.75" customHeight="1" x14ac:dyDescent="0.2">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spans="1:26" ht="12.75" customHeight="1" x14ac:dyDescent="0.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spans="1:26" ht="12.75" customHeight="1" x14ac:dyDescent="0.2">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spans="1:26" ht="12.75" customHeight="1" x14ac:dyDescent="0.2">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spans="1:26" ht="12.75" customHeight="1" x14ac:dyDescent="0.2">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spans="1:26" ht="12.75" customHeight="1" x14ac:dyDescent="0.2">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spans="1:26" ht="12.75" customHeight="1" x14ac:dyDescent="0.2">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spans="1:26" ht="12.75" customHeight="1" x14ac:dyDescent="0.2">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spans="1:26" ht="12.75" customHeight="1" x14ac:dyDescent="0.2">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spans="1:26" ht="12.75" customHeight="1" x14ac:dyDescent="0.2">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spans="1:26" ht="12.75" customHeight="1" x14ac:dyDescent="0.2">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spans="1:26" ht="12.75" customHeight="1" x14ac:dyDescent="0.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spans="1:26" ht="12.75" customHeight="1" x14ac:dyDescent="0.2">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spans="1:26" ht="12.75" customHeight="1" x14ac:dyDescent="0.2">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spans="1:26" ht="12.75" customHeight="1" x14ac:dyDescent="0.2">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spans="1:26" ht="12.75" customHeight="1" x14ac:dyDescent="0.2">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spans="1:26" ht="12.75" customHeight="1" x14ac:dyDescent="0.2">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spans="1:26" ht="12.75" customHeight="1" x14ac:dyDescent="0.2">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spans="1:26" ht="12.75" customHeight="1" x14ac:dyDescent="0.2">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spans="1:26" ht="12.75" customHeight="1" x14ac:dyDescent="0.2">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spans="1:26" ht="12.75" customHeight="1" x14ac:dyDescent="0.2">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spans="1:26" ht="12.75" customHeight="1" x14ac:dyDescent="0.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spans="1:26" ht="12.75" customHeight="1" x14ac:dyDescent="0.2">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spans="1:26" ht="12.75" customHeight="1" x14ac:dyDescent="0.2">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spans="1:26" ht="12.75" customHeight="1" x14ac:dyDescent="0.2">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spans="1:26" ht="12.75" customHeight="1" x14ac:dyDescent="0.2">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spans="1:26" ht="12.75" customHeight="1" x14ac:dyDescent="0.2">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spans="1:26" ht="12.75" customHeight="1" x14ac:dyDescent="0.2">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spans="1:26" ht="12.75" customHeight="1" x14ac:dyDescent="0.2">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spans="1:26" ht="12.75" customHeight="1" x14ac:dyDescent="0.2">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spans="1:26" ht="12.75" customHeight="1" x14ac:dyDescent="0.2">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spans="1:26" ht="12.75" customHeight="1" x14ac:dyDescent="0.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spans="1:26" ht="12.75" customHeight="1" x14ac:dyDescent="0.2">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spans="1:26" ht="12.75" customHeight="1" x14ac:dyDescent="0.2">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spans="1:26" ht="12.75" customHeight="1" x14ac:dyDescent="0.2">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spans="1:26" ht="12.75" customHeight="1" x14ac:dyDescent="0.2">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spans="1:26" ht="12.75" customHeight="1" x14ac:dyDescent="0.2">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spans="1:26" ht="12.75" customHeight="1" x14ac:dyDescent="0.2">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spans="1:26" ht="12.75" customHeight="1" x14ac:dyDescent="0.2">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spans="1:26" ht="12.75" customHeight="1" x14ac:dyDescent="0.2">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spans="1:26" ht="12.75" customHeight="1" x14ac:dyDescent="0.2">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spans="1:26" ht="12.75" customHeight="1" x14ac:dyDescent="0.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spans="1:26" ht="12.75" customHeight="1" x14ac:dyDescent="0.2">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spans="1:26" ht="12.75" customHeight="1" x14ac:dyDescent="0.2">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spans="1:26" ht="12.75" customHeight="1" x14ac:dyDescent="0.2">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spans="1:26" ht="12.75" customHeight="1" x14ac:dyDescent="0.2">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spans="1:26" ht="12.75" customHeight="1" x14ac:dyDescent="0.2">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spans="1:26" ht="12.75" customHeight="1" x14ac:dyDescent="0.2">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spans="1:26" ht="12.75" customHeight="1" x14ac:dyDescent="0.2">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spans="1:26" ht="12.75" customHeight="1" x14ac:dyDescent="0.2">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spans="1:26" ht="12.75" customHeight="1" x14ac:dyDescent="0.2">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spans="1:26" ht="12.75" customHeight="1" x14ac:dyDescent="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spans="1:26" ht="12.75" customHeight="1" x14ac:dyDescent="0.2">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spans="1:26" ht="12.75" customHeight="1" x14ac:dyDescent="0.2">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spans="1:26" ht="12.75" customHeight="1" x14ac:dyDescent="0.2">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spans="1:26" ht="12.75" customHeight="1" x14ac:dyDescent="0.2">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spans="1:26" ht="12.75" customHeight="1" x14ac:dyDescent="0.2">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spans="1:26" ht="12.75" customHeight="1" x14ac:dyDescent="0.2">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spans="1:26" ht="12.75" customHeight="1" x14ac:dyDescent="0.2">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spans="1:26" ht="12.75" customHeight="1" x14ac:dyDescent="0.2">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spans="1:26" ht="12.75" customHeight="1" x14ac:dyDescent="0.2">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spans="1:26" ht="12.75" customHeight="1" x14ac:dyDescent="0.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spans="1:26" ht="12.75" customHeight="1" x14ac:dyDescent="0.2">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spans="1:26" ht="12.75" customHeight="1" x14ac:dyDescent="0.2">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spans="1:26" ht="12.75" customHeight="1" x14ac:dyDescent="0.2">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spans="1:26" ht="12.75" customHeight="1" x14ac:dyDescent="0.2">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spans="1:26" ht="12.75" customHeight="1" x14ac:dyDescent="0.2">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spans="1:26" ht="12.75" customHeight="1" x14ac:dyDescent="0.2">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spans="1:26" ht="12.75" customHeight="1" x14ac:dyDescent="0.2">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spans="1:26" ht="12.75" customHeight="1" x14ac:dyDescent="0.2">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spans="1:26" ht="12.75" customHeight="1" x14ac:dyDescent="0.2">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spans="1:26" ht="12.75" customHeight="1" x14ac:dyDescent="0.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spans="1:26" ht="12.75" customHeight="1" x14ac:dyDescent="0.2">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spans="1:26" ht="12.75" customHeight="1" x14ac:dyDescent="0.2">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spans="1:26" ht="12.75" customHeight="1" x14ac:dyDescent="0.2">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spans="1:26" ht="12.75" customHeight="1" x14ac:dyDescent="0.2">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spans="1:26" ht="12.75" customHeight="1" x14ac:dyDescent="0.2">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spans="1:26" ht="12.75" customHeight="1" x14ac:dyDescent="0.2">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spans="1:26" ht="12.75" customHeight="1" x14ac:dyDescent="0.2">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spans="1:26" ht="12.75" customHeight="1" x14ac:dyDescent="0.2">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spans="1:26" ht="12.75" customHeight="1" x14ac:dyDescent="0.2">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spans="1:26" ht="12.75" customHeight="1" x14ac:dyDescent="0.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spans="1:26" ht="12.75" customHeight="1" x14ac:dyDescent="0.2">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spans="1:26" ht="12.75" customHeight="1" x14ac:dyDescent="0.2">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spans="1:26" ht="12.75" customHeight="1" x14ac:dyDescent="0.2">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spans="1:26" ht="12.75" customHeight="1" x14ac:dyDescent="0.2">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spans="1:26" ht="12.75" customHeight="1" x14ac:dyDescent="0.2">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spans="1:26" ht="12.75" customHeight="1" x14ac:dyDescent="0.2">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spans="1:26" ht="12.75" customHeight="1" x14ac:dyDescent="0.2">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spans="1:26" ht="12.75" customHeight="1" x14ac:dyDescent="0.2">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spans="1:26" ht="12.75" customHeight="1" x14ac:dyDescent="0.2">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spans="1:26" ht="12.75" customHeight="1" x14ac:dyDescent="0.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spans="1:26" ht="12.75" customHeight="1" x14ac:dyDescent="0.2">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spans="1:26" ht="12.75" customHeight="1" x14ac:dyDescent="0.2">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spans="1:26" ht="12.75" customHeight="1" x14ac:dyDescent="0.2">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spans="1:26" ht="12.75" customHeight="1" x14ac:dyDescent="0.2">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spans="1:26" ht="12.75" customHeight="1" x14ac:dyDescent="0.2">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spans="1:26" ht="12.75" customHeight="1" x14ac:dyDescent="0.2">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spans="1:26" ht="12.75" customHeight="1" x14ac:dyDescent="0.2">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spans="1:26" ht="12.75" customHeight="1" x14ac:dyDescent="0.2">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spans="1:26" ht="12.75" customHeight="1" x14ac:dyDescent="0.2">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spans="1:26" ht="12.75" customHeight="1" x14ac:dyDescent="0.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spans="1:26" ht="12.75" customHeight="1" x14ac:dyDescent="0.2">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spans="1:26" ht="12.75" customHeight="1" x14ac:dyDescent="0.2">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spans="1:26" ht="12.75" customHeight="1" x14ac:dyDescent="0.2">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spans="1:26" ht="12.75" customHeight="1" x14ac:dyDescent="0.2">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spans="1:26" ht="12.75" customHeight="1" x14ac:dyDescent="0.2">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spans="1:26" ht="12.75" customHeight="1" x14ac:dyDescent="0.2">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spans="1:26" ht="12.75" customHeight="1" x14ac:dyDescent="0.2">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spans="1:26" ht="12.75" customHeight="1" x14ac:dyDescent="0.2">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spans="1:26" ht="12.75" customHeight="1" x14ac:dyDescent="0.2">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spans="1:26" ht="12.75" customHeight="1" x14ac:dyDescent="0.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spans="1:26" ht="12.75" customHeight="1" x14ac:dyDescent="0.2">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spans="1:26" ht="12.75" customHeight="1" x14ac:dyDescent="0.2">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spans="1:26" ht="12.75" customHeight="1" x14ac:dyDescent="0.2">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spans="1:26" ht="12.75" customHeight="1" x14ac:dyDescent="0.2">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spans="1:26" ht="12.75" customHeight="1" x14ac:dyDescent="0.2">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spans="1:26" ht="12.75" customHeight="1" x14ac:dyDescent="0.2">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spans="1:26" ht="12.75" customHeight="1" x14ac:dyDescent="0.2">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spans="1:26" ht="12.75" customHeight="1" x14ac:dyDescent="0.2">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spans="1:26" ht="12.75" customHeight="1" x14ac:dyDescent="0.2">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spans="1:26" ht="12.75" customHeight="1" x14ac:dyDescent="0.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spans="1:26" ht="12.75" customHeight="1" x14ac:dyDescent="0.2">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spans="1:26" ht="12.75" customHeight="1" x14ac:dyDescent="0.2">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spans="1:26" ht="12.75" customHeight="1" x14ac:dyDescent="0.2">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spans="1:26" ht="12.75" customHeight="1" x14ac:dyDescent="0.2">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spans="1:26" ht="12.75" customHeight="1" x14ac:dyDescent="0.2">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spans="1:26" ht="12.75" customHeight="1" x14ac:dyDescent="0.2">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spans="1:26" ht="12.75" customHeight="1" x14ac:dyDescent="0.2">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spans="1:26" ht="12.75" customHeight="1" x14ac:dyDescent="0.2">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spans="1:26" ht="12.75" customHeight="1" x14ac:dyDescent="0.2">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spans="1:26" ht="12.75" customHeight="1" x14ac:dyDescent="0.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spans="1:26" ht="12.75" customHeight="1" x14ac:dyDescent="0.2">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spans="1:26" ht="12.75" customHeight="1" x14ac:dyDescent="0.2">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spans="1:26" ht="12.75" customHeight="1" x14ac:dyDescent="0.2">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spans="1:26" ht="12.75" customHeight="1" x14ac:dyDescent="0.2">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spans="1:26" ht="12.75" customHeight="1" x14ac:dyDescent="0.2">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spans="1:26" ht="12.75" customHeight="1" x14ac:dyDescent="0.2">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spans="1:26" ht="12.75" customHeight="1" x14ac:dyDescent="0.2">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spans="1:26" ht="12.75" customHeight="1" x14ac:dyDescent="0.2">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spans="1:26" ht="12.75" customHeight="1" x14ac:dyDescent="0.2">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spans="1:26" ht="12.75" customHeight="1" x14ac:dyDescent="0.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spans="1:26" ht="12.75" customHeight="1" x14ac:dyDescent="0.2">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spans="1:26" ht="12.75" customHeight="1" x14ac:dyDescent="0.2">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spans="1:26" ht="12.75" customHeight="1" x14ac:dyDescent="0.2">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spans="1:26" ht="12.75" customHeight="1" x14ac:dyDescent="0.2">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spans="1:26" ht="12.75" customHeight="1" x14ac:dyDescent="0.2">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spans="1:26" ht="12.75" customHeight="1" x14ac:dyDescent="0.2">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spans="1:26" ht="12.75" customHeight="1" x14ac:dyDescent="0.2">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spans="1:26" ht="12.75" customHeight="1" x14ac:dyDescent="0.2">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spans="1:26" ht="12.75" customHeight="1" x14ac:dyDescent="0.2">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spans="1:26" ht="12.75" customHeight="1" x14ac:dyDescent="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spans="1:26" ht="12.75" customHeight="1" x14ac:dyDescent="0.2">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spans="1:26" ht="12.75" customHeight="1" x14ac:dyDescent="0.2">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spans="1:26" ht="12.75" customHeight="1" x14ac:dyDescent="0.2">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spans="1:26" ht="12.75" customHeight="1" x14ac:dyDescent="0.2">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spans="1:26" ht="12.75" customHeight="1" x14ac:dyDescent="0.2">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spans="1:26" ht="12.75" customHeight="1" x14ac:dyDescent="0.2">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spans="1:26" ht="12.75" customHeight="1" x14ac:dyDescent="0.2">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spans="1:26" ht="12.75" customHeight="1" x14ac:dyDescent="0.2">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spans="1:26" ht="12.75" customHeight="1" x14ac:dyDescent="0.2">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spans="1:26" ht="12.75" customHeight="1" x14ac:dyDescent="0.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spans="1:26" ht="12.75" customHeight="1" x14ac:dyDescent="0.2">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spans="1:26" ht="12.75" customHeight="1" x14ac:dyDescent="0.2">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spans="1:26" ht="12.75" customHeight="1" x14ac:dyDescent="0.2">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spans="1:26" ht="12.75" customHeight="1" x14ac:dyDescent="0.2">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spans="1:26" ht="12.75" customHeight="1" x14ac:dyDescent="0.2">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spans="1:26" ht="12.75" customHeight="1" x14ac:dyDescent="0.2">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spans="1:26" ht="12.75" customHeight="1" x14ac:dyDescent="0.2">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spans="1:26" ht="12.75" customHeight="1" x14ac:dyDescent="0.2">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spans="1:26" ht="12.75" customHeight="1" x14ac:dyDescent="0.2">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spans="1:26" ht="12.75" customHeight="1" x14ac:dyDescent="0.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spans="1:26" ht="12.75" customHeight="1" x14ac:dyDescent="0.2">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spans="1:26" ht="12.75" customHeight="1" x14ac:dyDescent="0.2">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spans="1:26" ht="12.75" customHeight="1" x14ac:dyDescent="0.2">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spans="1:26" ht="12.75" customHeight="1" x14ac:dyDescent="0.2">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spans="1:26" ht="12.75" customHeight="1" x14ac:dyDescent="0.2">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spans="1:26" ht="12.75" customHeight="1" x14ac:dyDescent="0.2">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spans="1:26" ht="12.75" customHeight="1" x14ac:dyDescent="0.2">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spans="1:26" ht="12.75" customHeight="1" x14ac:dyDescent="0.2">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spans="1:26" ht="12.75" customHeight="1" x14ac:dyDescent="0.2">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spans="1:26" ht="12.75" customHeight="1" x14ac:dyDescent="0.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spans="1:26" ht="12.75" customHeight="1" x14ac:dyDescent="0.2">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spans="1:26" ht="12.75" customHeight="1" x14ac:dyDescent="0.2">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spans="1:26" ht="12.75" customHeight="1" x14ac:dyDescent="0.2">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spans="1:26" ht="12.75" customHeight="1" x14ac:dyDescent="0.2">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spans="1:26" ht="12.75" customHeight="1" x14ac:dyDescent="0.2">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spans="1:26" ht="12.75" customHeight="1" x14ac:dyDescent="0.2">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spans="1:26" ht="12.75" customHeight="1" x14ac:dyDescent="0.2">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spans="1:26" ht="12.75" customHeight="1" x14ac:dyDescent="0.2">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spans="1:26" ht="12.75" customHeight="1" x14ac:dyDescent="0.2">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spans="1:26" ht="12.75" customHeight="1" x14ac:dyDescent="0.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spans="1:26" ht="12.75" customHeight="1" x14ac:dyDescent="0.2">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spans="1:26" ht="12.75" customHeight="1" x14ac:dyDescent="0.2">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spans="1:26" ht="12.75" customHeight="1" x14ac:dyDescent="0.2">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spans="1:26" ht="12.75" customHeight="1" x14ac:dyDescent="0.2">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spans="1:26" ht="12.75" customHeight="1" x14ac:dyDescent="0.2">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spans="1:26" ht="12.75" customHeight="1" x14ac:dyDescent="0.2">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spans="1:26" ht="12.75" customHeight="1" x14ac:dyDescent="0.2">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spans="1:26" ht="12.75" customHeight="1" x14ac:dyDescent="0.2">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spans="1:26" ht="12.75" customHeight="1" x14ac:dyDescent="0.2">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spans="1:26" ht="12.75" customHeight="1" x14ac:dyDescent="0.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spans="1:26" ht="12.75" customHeight="1" x14ac:dyDescent="0.2">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spans="1:26" ht="12.75" customHeight="1" x14ac:dyDescent="0.2">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spans="1:26" ht="12.75" customHeight="1" x14ac:dyDescent="0.2">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spans="1:26" ht="12.75" customHeight="1" x14ac:dyDescent="0.2">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spans="1:26" ht="12.75" customHeight="1" x14ac:dyDescent="0.2">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spans="1:26" ht="12.75" customHeight="1" x14ac:dyDescent="0.2">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spans="1:26" ht="12.75" customHeight="1" x14ac:dyDescent="0.2">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spans="1:26" ht="12.75" customHeight="1" x14ac:dyDescent="0.2">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spans="1:26" ht="12.75" customHeight="1" x14ac:dyDescent="0.2">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spans="1:26" ht="12.75" customHeight="1" x14ac:dyDescent="0.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spans="1:26" ht="12.75" customHeight="1" x14ac:dyDescent="0.2">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spans="1:26" ht="12.75" customHeight="1" x14ac:dyDescent="0.2">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spans="1:26" ht="12.75" customHeight="1" x14ac:dyDescent="0.2">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spans="1:26" ht="12.75" customHeight="1" x14ac:dyDescent="0.2">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spans="1:26" ht="12.75" customHeight="1" x14ac:dyDescent="0.2">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spans="1:26" ht="12.75" customHeight="1" x14ac:dyDescent="0.2">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spans="1:26" ht="12.75" customHeight="1" x14ac:dyDescent="0.2">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spans="1:26" ht="12.75" customHeight="1" x14ac:dyDescent="0.2">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spans="1:26" ht="12.75" customHeight="1" x14ac:dyDescent="0.2">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spans="1:26" ht="12.75" customHeight="1" x14ac:dyDescent="0.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spans="1:26" ht="12.75" customHeight="1" x14ac:dyDescent="0.2">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spans="1:26" ht="12.75" customHeight="1" x14ac:dyDescent="0.2">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spans="1:26" ht="12.75" customHeight="1" x14ac:dyDescent="0.2">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spans="1:26" ht="12.75" customHeight="1" x14ac:dyDescent="0.2">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spans="1:26" ht="12.75" customHeight="1" x14ac:dyDescent="0.2">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spans="1:26" ht="12.75" customHeight="1" x14ac:dyDescent="0.2">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spans="1:26" ht="12.75" customHeight="1" x14ac:dyDescent="0.2">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spans="1:26" ht="12.75" customHeight="1" x14ac:dyDescent="0.2">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spans="1:26" ht="12.75" customHeight="1" x14ac:dyDescent="0.2">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spans="1:26" ht="12.75" customHeight="1" x14ac:dyDescent="0.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spans="1:26" ht="12.75" customHeight="1" x14ac:dyDescent="0.2">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spans="1:26" ht="12.75" customHeight="1" x14ac:dyDescent="0.2">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spans="1:26" ht="12.75" customHeight="1" x14ac:dyDescent="0.2">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spans="1:26" ht="12.75" customHeight="1" x14ac:dyDescent="0.2">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spans="1:26" ht="12.75" customHeight="1" x14ac:dyDescent="0.2">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spans="1:26" ht="12.75" customHeight="1" x14ac:dyDescent="0.2">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spans="1:26" ht="12.75" customHeight="1" x14ac:dyDescent="0.2">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spans="1:26" ht="12.75" customHeight="1" x14ac:dyDescent="0.2">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spans="1:26" ht="12.75" customHeight="1" x14ac:dyDescent="0.2">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spans="1:26" ht="12.75" customHeight="1" x14ac:dyDescent="0.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spans="1:26" ht="12.75" customHeight="1" x14ac:dyDescent="0.2">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spans="1:26" ht="12.75" customHeight="1" x14ac:dyDescent="0.2">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spans="1:26" ht="12.75" customHeight="1" x14ac:dyDescent="0.2">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spans="1:26" ht="12.75" customHeight="1" x14ac:dyDescent="0.2">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spans="1:26" ht="12.75" customHeight="1" x14ac:dyDescent="0.2">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sheetData>
  <mergeCells count="9">
    <mergeCell ref="A17:D17"/>
    <mergeCell ref="A5:I5"/>
    <mergeCell ref="A6:A7"/>
    <mergeCell ref="B6:B7"/>
    <mergeCell ref="C6:C7"/>
    <mergeCell ref="D6:D7"/>
    <mergeCell ref="E6:E7"/>
    <mergeCell ref="G6:H6"/>
    <mergeCell ref="I6:I7"/>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96"/>
  <sheetViews>
    <sheetView showGridLines="0" workbookViewId="0">
      <pane ySplit="7" topLeftCell="A8" activePane="bottomLeft" state="frozen"/>
      <selection pane="bottomLeft" activeCell="A22" sqref="A22"/>
    </sheetView>
    <sheetView workbookViewId="1"/>
  </sheetViews>
  <sheetFormatPr defaultColWidth="0" defaultRowHeight="15" customHeight="1" x14ac:dyDescent="0.2"/>
  <cols>
    <col min="1" max="1" width="21.42578125" customWidth="1"/>
    <col min="2" max="2" width="74.140625" customWidth="1"/>
    <col min="3" max="3" width="11" customWidth="1"/>
    <col min="4" max="4" width="13.7109375" customWidth="1"/>
    <col min="5" max="5" width="13.28515625" customWidth="1"/>
    <col min="6" max="6" width="31.7109375" customWidth="1"/>
    <col min="7" max="7" width="13.28515625" customWidth="1"/>
    <col min="8" max="8" width="7.28515625" customWidth="1"/>
    <col min="9" max="9" width="10.140625" bestFit="1" customWidth="1"/>
    <col min="10" max="11" width="14.28515625" customWidth="1"/>
    <col min="12" max="19" width="14.28515625" hidden="1" customWidth="1"/>
    <col min="20" max="28" width="10" hidden="1" customWidth="1"/>
    <col min="29" max="16384" width="12.42578125" hidden="1"/>
  </cols>
  <sheetData>
    <row r="1" spans="1:28" ht="15" customHeight="1" x14ac:dyDescent="0.2">
      <c r="A1" s="196" t="str">
        <f>'RESUMEN GENERAL'!A3</f>
        <v xml:space="preserve">Título del proyecto:   </v>
      </c>
      <c r="B1" t="str" cm="1">
        <f t="array" ref="B1:J1">'RESUMEN GENERAL'!B3:J3</f>
        <v xml:space="preserve">Funciones evolutivas del habla dirigida a bebés: Impacto en la atención, las preferencias auditivas y el desarrollo lingüístico y musical temprano </v>
      </c>
      <c r="C1" s="159">
        <v>0</v>
      </c>
      <c r="D1" s="159">
        <v>0</v>
      </c>
      <c r="E1" s="159">
        <v>0</v>
      </c>
      <c r="F1" s="159">
        <v>0</v>
      </c>
      <c r="G1" s="159">
        <v>0</v>
      </c>
      <c r="H1" s="159">
        <v>0</v>
      </c>
      <c r="I1" s="159">
        <v>0</v>
      </c>
      <c r="J1" s="159">
        <v>0</v>
      </c>
    </row>
    <row r="2" spans="1:28" ht="15" customHeight="1" x14ac:dyDescent="0.2">
      <c r="A2" s="196" t="str">
        <f>'RESUMEN GENERAL'!A4</f>
        <v xml:space="preserve">Investigador Principal: </v>
      </c>
      <c r="B2" t="str" cm="1">
        <f t="array" ref="B2:J2">'RESUMEN GENERAL'!B4:J4</f>
        <v>Juan David Leongómez Peña</v>
      </c>
      <c r="C2" s="159">
        <v>0</v>
      </c>
      <c r="D2" s="159">
        <v>0</v>
      </c>
      <c r="E2" s="159">
        <v>0</v>
      </c>
      <c r="F2" s="159">
        <v>0</v>
      </c>
      <c r="G2" s="159">
        <v>0</v>
      </c>
      <c r="H2" s="159">
        <v>0</v>
      </c>
      <c r="I2" s="159">
        <v>0</v>
      </c>
      <c r="J2" s="159">
        <v>0</v>
      </c>
    </row>
    <row r="4" spans="1:28" ht="15" customHeight="1" x14ac:dyDescent="0.2">
      <c r="A4" s="77" t="s">
        <v>48</v>
      </c>
    </row>
    <row r="5" spans="1:28" ht="78.75" customHeight="1" x14ac:dyDescent="0.2">
      <c r="A5" s="278" t="s">
        <v>144</v>
      </c>
      <c r="B5" s="278"/>
      <c r="C5" s="278"/>
      <c r="D5" s="278"/>
      <c r="E5" s="278"/>
      <c r="F5" s="278"/>
      <c r="G5" s="278"/>
      <c r="H5" s="278"/>
      <c r="I5" s="278"/>
      <c r="J5" s="278"/>
    </row>
    <row r="6" spans="1:28" ht="42.75" customHeight="1" x14ac:dyDescent="0.2">
      <c r="A6" s="269" t="s">
        <v>126</v>
      </c>
      <c r="B6" s="269" t="s">
        <v>91</v>
      </c>
      <c r="C6" s="269" t="s">
        <v>92</v>
      </c>
      <c r="D6" s="269" t="s">
        <v>93</v>
      </c>
      <c r="E6" s="269" t="s">
        <v>54</v>
      </c>
      <c r="F6" s="271" t="s">
        <v>32</v>
      </c>
      <c r="G6" s="272"/>
      <c r="H6" s="271" t="s">
        <v>69</v>
      </c>
      <c r="I6" s="272"/>
      <c r="J6" s="269" t="s">
        <v>36</v>
      </c>
    </row>
    <row r="7" spans="1:28" ht="43.5" customHeight="1" x14ac:dyDescent="0.2">
      <c r="A7" s="270"/>
      <c r="B7" s="270"/>
      <c r="C7" s="270"/>
      <c r="D7" s="270"/>
      <c r="E7" s="270"/>
      <c r="F7" s="49" t="s">
        <v>94</v>
      </c>
      <c r="G7" s="1" t="s">
        <v>40</v>
      </c>
      <c r="H7" s="1" t="s">
        <v>41</v>
      </c>
      <c r="I7" s="1" t="s">
        <v>40</v>
      </c>
      <c r="J7" s="270"/>
    </row>
    <row r="8" spans="1:28" ht="12.75" customHeight="1" x14ac:dyDescent="0.2">
      <c r="A8" s="10"/>
      <c r="B8" s="9"/>
      <c r="C8" s="8">
        <v>0</v>
      </c>
      <c r="D8" s="8">
        <v>0</v>
      </c>
      <c r="E8" s="35">
        <f t="shared" ref="E8:E15" si="0">+D8*C8</f>
        <v>0</v>
      </c>
      <c r="F8" s="12">
        <v>0</v>
      </c>
      <c r="G8" s="12">
        <v>0</v>
      </c>
      <c r="H8" s="12">
        <v>0</v>
      </c>
      <c r="I8" s="12">
        <v>0</v>
      </c>
      <c r="J8" s="35">
        <f>SUM(F8:I8)</f>
        <v>0</v>
      </c>
      <c r="K8" s="78"/>
      <c r="L8" s="78"/>
      <c r="M8" s="78"/>
      <c r="N8" s="78"/>
      <c r="O8" s="78"/>
      <c r="P8" s="78"/>
      <c r="Q8" s="78"/>
      <c r="R8" s="78"/>
      <c r="S8" s="78"/>
      <c r="T8" s="78"/>
      <c r="U8" s="78"/>
      <c r="V8" s="78"/>
      <c r="W8" s="78"/>
      <c r="X8" s="78"/>
      <c r="Y8" s="78"/>
      <c r="Z8" s="78"/>
      <c r="AA8" s="78"/>
      <c r="AB8" s="78"/>
    </row>
    <row r="9" spans="1:28" ht="12.75" customHeight="1" x14ac:dyDescent="0.2">
      <c r="A9" s="10"/>
      <c r="B9" s="9"/>
      <c r="C9" s="8">
        <v>0</v>
      </c>
      <c r="D9" s="8">
        <v>0</v>
      </c>
      <c r="E9" s="35">
        <f t="shared" si="0"/>
        <v>0</v>
      </c>
      <c r="F9" s="12">
        <v>0</v>
      </c>
      <c r="G9" s="12">
        <v>0</v>
      </c>
      <c r="H9" s="12">
        <v>0</v>
      </c>
      <c r="I9" s="12">
        <v>0</v>
      </c>
      <c r="J9" s="35">
        <f t="shared" ref="J9:J16" si="1">SUM(F9:I9)</f>
        <v>0</v>
      </c>
      <c r="K9" s="78"/>
      <c r="L9" s="78"/>
      <c r="M9" s="78"/>
      <c r="N9" s="78"/>
      <c r="O9" s="78"/>
      <c r="P9" s="78"/>
      <c r="Q9" s="78"/>
      <c r="R9" s="78"/>
      <c r="S9" s="78"/>
      <c r="T9" s="78"/>
      <c r="U9" s="78"/>
      <c r="V9" s="78"/>
      <c r="W9" s="78"/>
      <c r="X9" s="78"/>
      <c r="Y9" s="78"/>
      <c r="Z9" s="78"/>
      <c r="AA9" s="78"/>
      <c r="AB9" s="78"/>
    </row>
    <row r="10" spans="1:28" ht="12.75" customHeight="1" x14ac:dyDescent="0.2">
      <c r="A10" s="10"/>
      <c r="B10" s="9"/>
      <c r="C10" s="8">
        <v>0</v>
      </c>
      <c r="D10" s="8">
        <v>0</v>
      </c>
      <c r="E10" s="35">
        <f t="shared" si="0"/>
        <v>0</v>
      </c>
      <c r="F10" s="12">
        <v>0</v>
      </c>
      <c r="G10" s="12">
        <v>0</v>
      </c>
      <c r="H10" s="12">
        <v>0</v>
      </c>
      <c r="I10" s="12">
        <v>0</v>
      </c>
      <c r="J10" s="35">
        <f t="shared" si="1"/>
        <v>0</v>
      </c>
      <c r="K10" s="78"/>
      <c r="L10" s="78"/>
      <c r="M10" s="78"/>
      <c r="N10" s="78"/>
      <c r="O10" s="78"/>
      <c r="P10" s="78"/>
      <c r="Q10" s="78"/>
      <c r="R10" s="78"/>
      <c r="S10" s="78"/>
      <c r="T10" s="78"/>
      <c r="U10" s="78"/>
      <c r="V10" s="78"/>
      <c r="W10" s="78"/>
      <c r="X10" s="78"/>
      <c r="Y10" s="78"/>
      <c r="Z10" s="78"/>
      <c r="AA10" s="78"/>
      <c r="AB10" s="78"/>
    </row>
    <row r="11" spans="1:28" ht="12.75" customHeight="1" x14ac:dyDescent="0.2">
      <c r="A11" s="10"/>
      <c r="B11" s="9"/>
      <c r="C11" s="8">
        <v>0</v>
      </c>
      <c r="D11" s="8">
        <v>0</v>
      </c>
      <c r="E11" s="35">
        <f t="shared" si="0"/>
        <v>0</v>
      </c>
      <c r="F11" s="12">
        <v>0</v>
      </c>
      <c r="G11" s="12">
        <v>0</v>
      </c>
      <c r="H11" s="12">
        <v>0</v>
      </c>
      <c r="I11" s="12">
        <v>0</v>
      </c>
      <c r="J11" s="35">
        <f t="shared" si="1"/>
        <v>0</v>
      </c>
      <c r="K11" s="78"/>
      <c r="L11" s="78"/>
      <c r="M11" s="78"/>
      <c r="N11" s="78"/>
      <c r="O11" s="78"/>
      <c r="P11" s="78"/>
      <c r="Q11" s="78"/>
      <c r="R11" s="78"/>
      <c r="S11" s="78"/>
      <c r="T11" s="78"/>
      <c r="U11" s="78"/>
      <c r="V11" s="78"/>
      <c r="W11" s="78"/>
      <c r="X11" s="78"/>
      <c r="Y11" s="78"/>
      <c r="Z11" s="78"/>
      <c r="AA11" s="78"/>
      <c r="AB11" s="78"/>
    </row>
    <row r="12" spans="1:28" ht="12.75" customHeight="1" x14ac:dyDescent="0.2">
      <c r="A12" s="10"/>
      <c r="B12" s="9"/>
      <c r="C12" s="8">
        <v>0</v>
      </c>
      <c r="D12" s="8">
        <v>0</v>
      </c>
      <c r="E12" s="35">
        <f t="shared" si="0"/>
        <v>0</v>
      </c>
      <c r="F12" s="12">
        <v>0</v>
      </c>
      <c r="G12" s="12">
        <v>0</v>
      </c>
      <c r="H12" s="12">
        <v>0</v>
      </c>
      <c r="I12" s="12">
        <v>0</v>
      </c>
      <c r="J12" s="35">
        <f t="shared" si="1"/>
        <v>0</v>
      </c>
      <c r="K12" s="78"/>
      <c r="L12" s="78"/>
      <c r="M12" s="78"/>
      <c r="N12" s="78"/>
      <c r="O12" s="78"/>
      <c r="P12" s="78"/>
      <c r="Q12" s="78"/>
      <c r="R12" s="78"/>
      <c r="S12" s="78"/>
      <c r="T12" s="78"/>
      <c r="U12" s="78"/>
      <c r="V12" s="78"/>
      <c r="W12" s="78"/>
      <c r="X12" s="78"/>
      <c r="Y12" s="78"/>
      <c r="Z12" s="78"/>
      <c r="AA12" s="78"/>
      <c r="AB12" s="78"/>
    </row>
    <row r="13" spans="1:28" ht="12.75" customHeight="1" x14ac:dyDescent="0.2">
      <c r="A13" s="10"/>
      <c r="B13" s="9"/>
      <c r="C13" s="8">
        <v>0</v>
      </c>
      <c r="D13" s="8">
        <v>0</v>
      </c>
      <c r="E13" s="35">
        <f t="shared" si="0"/>
        <v>0</v>
      </c>
      <c r="F13" s="12">
        <v>0</v>
      </c>
      <c r="G13" s="12">
        <v>0</v>
      </c>
      <c r="H13" s="12">
        <v>0</v>
      </c>
      <c r="I13" s="12">
        <v>0</v>
      </c>
      <c r="J13" s="35">
        <f t="shared" si="1"/>
        <v>0</v>
      </c>
      <c r="K13" s="78"/>
      <c r="L13" s="78"/>
      <c r="M13" s="78"/>
      <c r="N13" s="78"/>
      <c r="O13" s="78"/>
      <c r="P13" s="78"/>
      <c r="Q13" s="78"/>
      <c r="R13" s="78"/>
      <c r="S13" s="78"/>
      <c r="T13" s="78"/>
      <c r="U13" s="78"/>
      <c r="V13" s="78"/>
      <c r="W13" s="78"/>
      <c r="X13" s="78"/>
      <c r="Y13" s="78"/>
      <c r="Z13" s="78"/>
      <c r="AA13" s="78"/>
      <c r="AB13" s="78"/>
    </row>
    <row r="14" spans="1:28" ht="12.75" customHeight="1" x14ac:dyDescent="0.2">
      <c r="A14" s="10"/>
      <c r="B14" s="9"/>
      <c r="C14" s="8">
        <v>0</v>
      </c>
      <c r="D14" s="8">
        <v>0</v>
      </c>
      <c r="E14" s="35">
        <f t="shared" si="0"/>
        <v>0</v>
      </c>
      <c r="F14" s="12">
        <v>0</v>
      </c>
      <c r="G14" s="12">
        <v>0</v>
      </c>
      <c r="H14" s="12">
        <v>0</v>
      </c>
      <c r="I14" s="12">
        <v>0</v>
      </c>
      <c r="J14" s="35">
        <f t="shared" si="1"/>
        <v>0</v>
      </c>
      <c r="K14" s="78"/>
      <c r="L14" s="78"/>
      <c r="M14" s="78"/>
      <c r="N14" s="78"/>
      <c r="O14" s="78"/>
      <c r="P14" s="78"/>
      <c r="Q14" s="78"/>
      <c r="R14" s="78"/>
      <c r="S14" s="78"/>
      <c r="T14" s="78"/>
      <c r="U14" s="78"/>
      <c r="V14" s="78"/>
      <c r="W14" s="78"/>
      <c r="X14" s="78"/>
      <c r="Y14" s="78"/>
      <c r="Z14" s="78"/>
      <c r="AA14" s="78"/>
      <c r="AB14" s="78"/>
    </row>
    <row r="15" spans="1:28" ht="12.75" customHeight="1" x14ac:dyDescent="0.2">
      <c r="A15" s="10"/>
      <c r="B15" s="9"/>
      <c r="C15" s="8">
        <v>0</v>
      </c>
      <c r="D15" s="8">
        <v>0</v>
      </c>
      <c r="E15" s="35">
        <f t="shared" si="0"/>
        <v>0</v>
      </c>
      <c r="F15" s="12">
        <v>0</v>
      </c>
      <c r="G15" s="12">
        <v>0</v>
      </c>
      <c r="H15" s="12">
        <v>0</v>
      </c>
      <c r="I15" s="12">
        <v>0</v>
      </c>
      <c r="J15" s="35">
        <f t="shared" si="1"/>
        <v>0</v>
      </c>
      <c r="K15" s="51"/>
      <c r="L15" s="51"/>
      <c r="M15" s="51"/>
      <c r="N15" s="51"/>
      <c r="O15" s="51"/>
      <c r="P15" s="51"/>
      <c r="Q15" s="51"/>
      <c r="R15" s="51"/>
      <c r="S15" s="51"/>
      <c r="T15" s="51"/>
      <c r="U15" s="51"/>
      <c r="V15" s="51"/>
      <c r="W15" s="51"/>
      <c r="X15" s="51"/>
      <c r="Y15" s="51"/>
      <c r="Z15" s="51"/>
      <c r="AA15" s="51"/>
      <c r="AB15" s="51"/>
    </row>
    <row r="16" spans="1:28" ht="12.75" customHeight="1" x14ac:dyDescent="0.2">
      <c r="A16" s="288" t="s">
        <v>112</v>
      </c>
      <c r="B16" s="289"/>
      <c r="C16" s="289"/>
      <c r="D16" s="290"/>
      <c r="E16" s="207">
        <f t="shared" ref="E16:I16" si="2">SUM(E8:E15)</f>
        <v>0</v>
      </c>
      <c r="F16" s="206">
        <f t="shared" si="2"/>
        <v>0</v>
      </c>
      <c r="G16" s="206">
        <f t="shared" si="2"/>
        <v>0</v>
      </c>
      <c r="H16" s="206">
        <f t="shared" si="2"/>
        <v>0</v>
      </c>
      <c r="I16" s="206">
        <f t="shared" si="2"/>
        <v>0</v>
      </c>
      <c r="J16" s="208">
        <f t="shared" si="1"/>
        <v>0</v>
      </c>
      <c r="K16" s="52"/>
      <c r="L16" s="52"/>
      <c r="M16" s="52"/>
      <c r="N16" s="52"/>
      <c r="O16" s="52"/>
      <c r="P16" s="52"/>
      <c r="Q16" s="52"/>
      <c r="R16" s="52"/>
      <c r="S16" s="52"/>
      <c r="T16" s="52"/>
      <c r="U16" s="52"/>
      <c r="V16" s="52"/>
      <c r="W16" s="52"/>
      <c r="X16" s="52"/>
      <c r="Y16" s="52"/>
      <c r="Z16" s="52"/>
      <c r="AA16" s="52"/>
      <c r="AB16" s="52"/>
    </row>
    <row r="17" spans="1:28" ht="12.75" customHeight="1" x14ac:dyDescent="0.2">
      <c r="A17" s="51"/>
      <c r="B17" s="51" t="s">
        <v>127</v>
      </c>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row>
    <row r="18" spans="1:28" ht="12.75" customHeight="1" x14ac:dyDescent="0.2">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row>
    <row r="19" spans="1:28" ht="12.75" customHeight="1" x14ac:dyDescent="0.2">
      <c r="A19" s="63"/>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row>
    <row r="20" spans="1:28" ht="12.75" customHeight="1" x14ac:dyDescent="0.2">
      <c r="A20" s="63"/>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row>
    <row r="21" spans="1:28" ht="12.75" customHeight="1" x14ac:dyDescent="0.2">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row>
    <row r="22" spans="1:28" ht="12.75" customHeight="1" x14ac:dyDescent="0.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row>
    <row r="23" spans="1:28" ht="12.75" customHeight="1" x14ac:dyDescent="0.2">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row>
    <row r="24" spans="1:28" ht="12.75" customHeight="1" x14ac:dyDescent="0.2">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row>
    <row r="25" spans="1:28" ht="12.75" customHeight="1" x14ac:dyDescent="0.2">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row>
    <row r="26" spans="1:28" ht="12.75" customHeight="1" x14ac:dyDescent="0.2">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row>
    <row r="27" spans="1:28" ht="12.75" customHeight="1" x14ac:dyDescent="0.2">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row>
    <row r="28" spans="1:28" ht="12.75" customHeight="1" x14ac:dyDescent="0.2">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row>
    <row r="29" spans="1:28" ht="12.75" customHeight="1" x14ac:dyDescent="0.2">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row>
    <row r="30" spans="1:28" ht="12.75" customHeight="1" x14ac:dyDescent="0.2">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row>
    <row r="31" spans="1:28" ht="12.75" customHeight="1" x14ac:dyDescent="0.2">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row>
    <row r="32" spans="1:28" ht="12.75" customHeight="1" x14ac:dyDescent="0.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row>
    <row r="33" spans="1:28" ht="12.75" customHeight="1" x14ac:dyDescent="0.2">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row>
    <row r="34" spans="1:28" ht="12.75" customHeight="1" x14ac:dyDescent="0.2">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row>
    <row r="35" spans="1:28" ht="12.75" customHeight="1" x14ac:dyDescent="0.2">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row>
    <row r="36" spans="1:28" ht="12.75" customHeight="1" x14ac:dyDescent="0.2">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row>
    <row r="37" spans="1:28" ht="12.75" customHeight="1" x14ac:dyDescent="0.2">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row>
    <row r="38" spans="1:28" ht="12.75" customHeight="1" x14ac:dyDescent="0.2">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row>
    <row r="39" spans="1:28" ht="12.75" customHeight="1" x14ac:dyDescent="0.2">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row>
    <row r="40" spans="1:28" ht="12.75" customHeight="1" x14ac:dyDescent="0.2">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row>
    <row r="41" spans="1:28" ht="12.75" customHeight="1" x14ac:dyDescent="0.2">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row>
    <row r="42" spans="1:28" ht="12.75" customHeight="1" x14ac:dyDescent="0.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row>
    <row r="43" spans="1:28" ht="12.75" customHeight="1" x14ac:dyDescent="0.2">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row>
    <row r="44" spans="1:28" ht="12.75" customHeight="1" x14ac:dyDescent="0.2">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row>
    <row r="45" spans="1:28" ht="12.75" customHeight="1" x14ac:dyDescent="0.2">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row>
    <row r="46" spans="1:28" ht="12.75" customHeight="1" x14ac:dyDescent="0.2">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row>
    <row r="47" spans="1:28" ht="12.75" customHeight="1" x14ac:dyDescent="0.2">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row>
    <row r="48" spans="1:28" ht="12.75" customHeight="1" x14ac:dyDescent="0.2">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row>
    <row r="49" spans="1:28" ht="12.75" customHeight="1" x14ac:dyDescent="0.2">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row>
    <row r="50" spans="1:28" ht="12.75" customHeight="1" x14ac:dyDescent="0.2">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row>
    <row r="51" spans="1:28" ht="12.75" customHeight="1" x14ac:dyDescent="0.2">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row>
    <row r="52" spans="1:28" ht="12.75" customHeight="1" x14ac:dyDescent="0.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row>
    <row r="53" spans="1:28" ht="12.75" customHeight="1" x14ac:dyDescent="0.2">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row>
    <row r="54" spans="1:28" ht="12.75" customHeight="1" x14ac:dyDescent="0.2">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row>
    <row r="55" spans="1:28" ht="12.75" customHeight="1" x14ac:dyDescent="0.2">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row>
    <row r="56" spans="1:28" ht="12.75" customHeight="1" x14ac:dyDescent="0.2">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row>
    <row r="57" spans="1:28" ht="12.75" customHeight="1" x14ac:dyDescent="0.2">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row>
    <row r="58" spans="1:28" ht="12.75" customHeight="1" x14ac:dyDescent="0.2">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row>
    <row r="59" spans="1:28" ht="12.75" customHeight="1" x14ac:dyDescent="0.2">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row>
    <row r="60" spans="1:28" ht="12.75" customHeight="1" x14ac:dyDescent="0.2">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row>
    <row r="61" spans="1:28" ht="12.75" customHeight="1" x14ac:dyDescent="0.2">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row>
    <row r="62" spans="1:28" ht="12.75" customHeight="1" x14ac:dyDescent="0.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row>
    <row r="63" spans="1:28" ht="12.75" customHeight="1" x14ac:dyDescent="0.2">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row>
    <row r="64" spans="1:28" ht="12.75" customHeight="1" x14ac:dyDescent="0.2">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row>
    <row r="65" spans="1:28" ht="12.75" customHeight="1" x14ac:dyDescent="0.2">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row>
    <row r="66" spans="1:28" ht="12.75" customHeight="1" x14ac:dyDescent="0.2">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row>
    <row r="67" spans="1:28" ht="12.75" customHeight="1" x14ac:dyDescent="0.2">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row>
    <row r="68" spans="1:28" ht="12.75" customHeight="1" x14ac:dyDescent="0.2">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row>
    <row r="69" spans="1:28" ht="12.75" customHeight="1" x14ac:dyDescent="0.2">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row>
    <row r="70" spans="1:28" ht="12.75" customHeight="1" x14ac:dyDescent="0.2">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row>
    <row r="71" spans="1:28" ht="12.75" customHeight="1" x14ac:dyDescent="0.2">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row>
    <row r="72" spans="1:28" ht="12.75" customHeight="1" x14ac:dyDescent="0.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row>
    <row r="73" spans="1:28" ht="12.75" customHeight="1" x14ac:dyDescent="0.2">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row>
    <row r="74" spans="1:28" ht="12.75" customHeight="1" x14ac:dyDescent="0.2">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row>
    <row r="75" spans="1:28" ht="12.75" customHeight="1" x14ac:dyDescent="0.2">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row>
    <row r="76" spans="1:28" ht="12.75" customHeight="1" x14ac:dyDescent="0.2">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row>
    <row r="77" spans="1:28" ht="12.75" customHeight="1" x14ac:dyDescent="0.2">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row>
    <row r="78" spans="1:28" ht="12.75" customHeight="1" x14ac:dyDescent="0.2">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row>
    <row r="79" spans="1:28" ht="12.75" customHeight="1" x14ac:dyDescent="0.2">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row>
    <row r="80" spans="1:28" ht="12.75" customHeight="1" x14ac:dyDescent="0.2">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row>
    <row r="81" spans="1:28" ht="12.75" customHeight="1" x14ac:dyDescent="0.2">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row>
    <row r="82" spans="1:28" ht="12.75" customHeight="1" x14ac:dyDescent="0.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row>
    <row r="83" spans="1:28" ht="12.75" customHeight="1" x14ac:dyDescent="0.2">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row>
    <row r="84" spans="1:28" ht="12.75" customHeight="1" x14ac:dyDescent="0.2">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row>
    <row r="85" spans="1:28" ht="12.75" customHeight="1" x14ac:dyDescent="0.2">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row>
    <row r="86" spans="1:28" ht="12.75" customHeight="1" x14ac:dyDescent="0.2">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row>
    <row r="87" spans="1:28" ht="12.75" customHeight="1" x14ac:dyDescent="0.2">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row>
    <row r="88" spans="1:28" ht="12.75" customHeight="1" x14ac:dyDescent="0.2">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row>
    <row r="89" spans="1:28" ht="12.75" customHeight="1" x14ac:dyDescent="0.2">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row>
    <row r="90" spans="1:28" ht="12.75" customHeight="1" x14ac:dyDescent="0.2">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row>
    <row r="91" spans="1:28" ht="12.75" customHeight="1" x14ac:dyDescent="0.2">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row>
    <row r="92" spans="1:28" ht="12.75" customHeight="1" x14ac:dyDescent="0.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row>
    <row r="93" spans="1:28" ht="12.75" customHeight="1" x14ac:dyDescent="0.2">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row>
    <row r="94" spans="1:28" ht="12.75" customHeight="1" x14ac:dyDescent="0.2">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row>
    <row r="95" spans="1:28" ht="12.75" customHeight="1" x14ac:dyDescent="0.2">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row>
    <row r="96" spans="1:28" ht="12.75" customHeight="1" x14ac:dyDescent="0.2">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row>
    <row r="97" spans="1:28" ht="12.75" customHeight="1" x14ac:dyDescent="0.2">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row>
    <row r="98" spans="1:28" ht="12.75" customHeight="1" x14ac:dyDescent="0.2">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row>
    <row r="99" spans="1:28" ht="12.75" customHeight="1" x14ac:dyDescent="0.2">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row>
    <row r="100" spans="1:28" ht="12.75" customHeight="1" x14ac:dyDescent="0.2">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row>
    <row r="101" spans="1:28" ht="12.75" customHeight="1" x14ac:dyDescent="0.2">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row>
    <row r="102" spans="1:28" ht="12.75" customHeight="1" x14ac:dyDescent="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row>
    <row r="103" spans="1:28" ht="12.75" customHeight="1" x14ac:dyDescent="0.2">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row>
    <row r="104" spans="1:28" ht="12.75" customHeight="1" x14ac:dyDescent="0.2">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row>
    <row r="105" spans="1:28" ht="12.75" customHeight="1" x14ac:dyDescent="0.2">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row>
    <row r="106" spans="1:28" ht="12.75" customHeight="1" x14ac:dyDescent="0.2">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row>
    <row r="107" spans="1:28" ht="12.75" customHeight="1" x14ac:dyDescent="0.2">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row>
    <row r="108" spans="1:28" ht="12.75" customHeight="1" x14ac:dyDescent="0.2">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row>
    <row r="109" spans="1:28" ht="12.75" customHeight="1" x14ac:dyDescent="0.2">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row>
    <row r="110" spans="1:28" ht="12.75" customHeight="1" x14ac:dyDescent="0.2">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row>
    <row r="111" spans="1:28" ht="12.75" customHeight="1" x14ac:dyDescent="0.2">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row>
    <row r="112" spans="1:28" ht="12.75" customHeight="1" x14ac:dyDescent="0.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row>
    <row r="113" spans="1:28" ht="12.75" customHeight="1" x14ac:dyDescent="0.2">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row>
    <row r="114" spans="1:28" ht="12.75" customHeight="1" x14ac:dyDescent="0.2">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row>
    <row r="115" spans="1:28" ht="12.75" customHeight="1" x14ac:dyDescent="0.2">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row>
    <row r="116" spans="1:28" ht="12.75" customHeight="1" x14ac:dyDescent="0.2">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row>
    <row r="117" spans="1:28" ht="12.75" customHeight="1" x14ac:dyDescent="0.2">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row>
    <row r="118" spans="1:28" ht="12.75" customHeight="1" x14ac:dyDescent="0.2">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row>
    <row r="119" spans="1:28" ht="12.75" customHeight="1" x14ac:dyDescent="0.2">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row>
    <row r="120" spans="1:28" ht="12.75" customHeight="1" x14ac:dyDescent="0.2">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row>
    <row r="121" spans="1:28" ht="12.75" customHeight="1" x14ac:dyDescent="0.2">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row>
    <row r="122" spans="1:28" ht="12.75" customHeight="1" x14ac:dyDescent="0.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row>
    <row r="123" spans="1:28" ht="12.75" customHeight="1" x14ac:dyDescent="0.2">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row>
    <row r="124" spans="1:28" ht="12.75" customHeight="1" x14ac:dyDescent="0.2">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row>
    <row r="125" spans="1:28" ht="12.75" customHeight="1" x14ac:dyDescent="0.2">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row>
    <row r="126" spans="1:28" ht="12.75" customHeight="1" x14ac:dyDescent="0.2">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row>
    <row r="127" spans="1:28" ht="12.75" customHeight="1" x14ac:dyDescent="0.2">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row>
    <row r="128" spans="1:28" ht="12.75" customHeight="1" x14ac:dyDescent="0.2">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row>
    <row r="129" spans="1:28" ht="12.75" customHeight="1" x14ac:dyDescent="0.2">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row>
    <row r="130" spans="1:28" ht="12.75" customHeight="1" x14ac:dyDescent="0.2">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row>
    <row r="131" spans="1:28" ht="12.75" customHeight="1" x14ac:dyDescent="0.2">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row>
    <row r="132" spans="1:28" ht="12.75" customHeight="1" x14ac:dyDescent="0.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row>
    <row r="133" spans="1:28" ht="12.75" customHeight="1" x14ac:dyDescent="0.2">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row>
    <row r="134" spans="1:28" ht="12.75" customHeight="1" x14ac:dyDescent="0.2">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row>
    <row r="135" spans="1:28" ht="12.75" customHeight="1" x14ac:dyDescent="0.2">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row>
    <row r="136" spans="1:28" ht="12.75" customHeight="1" x14ac:dyDescent="0.2">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row>
    <row r="137" spans="1:28" ht="12.75" customHeight="1" x14ac:dyDescent="0.2">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row>
    <row r="138" spans="1:28" ht="12.75" customHeight="1" x14ac:dyDescent="0.2">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row>
    <row r="139" spans="1:28" ht="12.75" customHeight="1" x14ac:dyDescent="0.2">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row>
    <row r="140" spans="1:28" ht="12.75" customHeight="1" x14ac:dyDescent="0.2">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row>
    <row r="141" spans="1:28" ht="12.75" customHeight="1" x14ac:dyDescent="0.2">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row>
    <row r="142" spans="1:28" ht="12.75" customHeight="1" x14ac:dyDescent="0.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row>
    <row r="143" spans="1:28" ht="12.75" customHeight="1" x14ac:dyDescent="0.2">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row>
    <row r="144" spans="1:28" ht="12.75" customHeight="1" x14ac:dyDescent="0.2">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row>
    <row r="145" spans="1:28" ht="12.75" customHeight="1" x14ac:dyDescent="0.2">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row>
    <row r="146" spans="1:28" ht="12.75" customHeight="1" x14ac:dyDescent="0.2">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row>
    <row r="147" spans="1:28" ht="12.75" customHeight="1" x14ac:dyDescent="0.2">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row>
    <row r="148" spans="1:28" ht="12.75" customHeight="1" x14ac:dyDescent="0.2">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row>
    <row r="149" spans="1:28" ht="12.75" customHeight="1" x14ac:dyDescent="0.2">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row>
    <row r="150" spans="1:28" ht="12.75" customHeight="1" x14ac:dyDescent="0.2">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row>
    <row r="151" spans="1:28" ht="12.75" customHeight="1" x14ac:dyDescent="0.2">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row>
    <row r="152" spans="1:28" ht="12.75" customHeight="1" x14ac:dyDescent="0.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row>
    <row r="153" spans="1:28" ht="12.75" customHeight="1" x14ac:dyDescent="0.2">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row>
    <row r="154" spans="1:28" ht="12.75" customHeight="1" x14ac:dyDescent="0.2">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row>
    <row r="155" spans="1:28" ht="12.75" customHeight="1" x14ac:dyDescent="0.2">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row>
    <row r="156" spans="1:28" ht="12.75" customHeight="1" x14ac:dyDescent="0.2">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row>
    <row r="157" spans="1:28" ht="12.75" customHeight="1" x14ac:dyDescent="0.2">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row>
    <row r="158" spans="1:28" ht="12.75" customHeight="1" x14ac:dyDescent="0.2">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row>
    <row r="159" spans="1:28" ht="12.75" customHeight="1" x14ac:dyDescent="0.2">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row>
    <row r="160" spans="1:28" ht="12.75" customHeight="1" x14ac:dyDescent="0.2">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row>
    <row r="161" spans="1:28" ht="12.75" customHeight="1" x14ac:dyDescent="0.2">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row>
    <row r="162" spans="1:28" ht="12.75" customHeight="1" x14ac:dyDescent="0.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row>
    <row r="163" spans="1:28" ht="12.75" customHeight="1" x14ac:dyDescent="0.2">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row>
    <row r="164" spans="1:28" ht="12.75" customHeight="1" x14ac:dyDescent="0.2">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row>
    <row r="165" spans="1:28" ht="12.75" customHeight="1" x14ac:dyDescent="0.2">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row>
    <row r="166" spans="1:28" ht="12.75" customHeight="1" x14ac:dyDescent="0.2">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row>
    <row r="167" spans="1:28" ht="12.75" customHeight="1" x14ac:dyDescent="0.2">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row>
    <row r="168" spans="1:28" ht="12.75" customHeight="1" x14ac:dyDescent="0.2">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row>
    <row r="169" spans="1:28" ht="12.75" customHeight="1" x14ac:dyDescent="0.2">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row>
    <row r="170" spans="1:28" ht="12.75" customHeight="1" x14ac:dyDescent="0.2">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row>
    <row r="171" spans="1:28" ht="12.75" customHeight="1" x14ac:dyDescent="0.2">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row>
    <row r="172" spans="1:28" ht="12.75" customHeight="1" x14ac:dyDescent="0.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row>
    <row r="173" spans="1:28" ht="12.75" customHeight="1" x14ac:dyDescent="0.2">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row>
    <row r="174" spans="1:28" ht="12.75" customHeight="1" x14ac:dyDescent="0.2">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row>
    <row r="175" spans="1:28" ht="12.75" customHeight="1" x14ac:dyDescent="0.2">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row>
    <row r="176" spans="1:28" ht="12.75" customHeight="1" x14ac:dyDescent="0.2">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row>
    <row r="177" spans="1:28" ht="12.75" customHeight="1" x14ac:dyDescent="0.2">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row>
    <row r="178" spans="1:28" ht="12.75" customHeight="1" x14ac:dyDescent="0.2">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row>
    <row r="179" spans="1:28" ht="12.75" customHeight="1" x14ac:dyDescent="0.2">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row>
    <row r="180" spans="1:28" ht="12.75" customHeight="1" x14ac:dyDescent="0.2">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row>
    <row r="181" spans="1:28" ht="12.75" customHeight="1" x14ac:dyDescent="0.2">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row>
    <row r="182" spans="1:28" ht="12.75" customHeight="1" x14ac:dyDescent="0.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row>
    <row r="183" spans="1:28" ht="12.75" customHeight="1" x14ac:dyDescent="0.2">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row>
    <row r="184" spans="1:28" ht="12.75" customHeight="1" x14ac:dyDescent="0.2">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row>
    <row r="185" spans="1:28" ht="12.75" customHeight="1" x14ac:dyDescent="0.2">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row>
    <row r="186" spans="1:28" ht="12.75" customHeight="1" x14ac:dyDescent="0.2">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row>
    <row r="187" spans="1:28" ht="12.75" customHeight="1" x14ac:dyDescent="0.2">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row>
    <row r="188" spans="1:28" ht="12.75" customHeight="1" x14ac:dyDescent="0.2">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row>
    <row r="189" spans="1:28" ht="12.75" customHeight="1" x14ac:dyDescent="0.2">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row>
    <row r="190" spans="1:28" ht="12.75" customHeight="1" x14ac:dyDescent="0.2">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row>
    <row r="191" spans="1:28" ht="12.75" customHeight="1" x14ac:dyDescent="0.2">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row>
    <row r="192" spans="1:28" ht="12.75" customHeight="1" x14ac:dyDescent="0.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row>
    <row r="193" spans="1:28" ht="12.75" customHeight="1" x14ac:dyDescent="0.2">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row>
    <row r="194" spans="1:28" ht="12.75" customHeight="1" x14ac:dyDescent="0.2">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row>
    <row r="195" spans="1:28" ht="12.75" customHeight="1" x14ac:dyDescent="0.2">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row>
    <row r="196" spans="1:28" ht="12.75" customHeight="1" x14ac:dyDescent="0.2">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row>
    <row r="197" spans="1:28" ht="12.75" customHeight="1" x14ac:dyDescent="0.2">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row>
    <row r="198" spans="1:28" ht="12.75" customHeight="1" x14ac:dyDescent="0.2">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row>
    <row r="199" spans="1:28" ht="12.75" customHeight="1" x14ac:dyDescent="0.2">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row>
    <row r="200" spans="1:28" ht="12.75" customHeight="1" x14ac:dyDescent="0.2">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row>
    <row r="201" spans="1:28" ht="12.75" customHeight="1" x14ac:dyDescent="0.2">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row>
    <row r="202" spans="1:28" ht="12.75" customHeight="1" x14ac:dyDescent="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row>
    <row r="203" spans="1:28" ht="12.75" customHeight="1" x14ac:dyDescent="0.2">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row>
    <row r="204" spans="1:28" ht="12.75" customHeight="1" x14ac:dyDescent="0.2">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row>
    <row r="205" spans="1:28" ht="12.75" customHeight="1" x14ac:dyDescent="0.2">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row>
    <row r="206" spans="1:28" ht="12.75" customHeight="1" x14ac:dyDescent="0.2">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row>
    <row r="207" spans="1:28" ht="12.75" customHeight="1" x14ac:dyDescent="0.2">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row>
    <row r="208" spans="1:28" ht="12.75" customHeight="1" x14ac:dyDescent="0.2">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row>
    <row r="209" spans="1:28" ht="12.75" customHeight="1" x14ac:dyDescent="0.2">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row>
    <row r="210" spans="1:28" ht="12.75" customHeight="1" x14ac:dyDescent="0.2">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row>
    <row r="211" spans="1:28" ht="12.75" customHeight="1" x14ac:dyDescent="0.2">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row>
    <row r="212" spans="1:28" ht="12.75" customHeight="1" x14ac:dyDescent="0.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row>
    <row r="213" spans="1:28" ht="12.75" customHeight="1" x14ac:dyDescent="0.2">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row>
    <row r="214" spans="1:28" ht="12.75" customHeight="1" x14ac:dyDescent="0.2">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row>
    <row r="215" spans="1:28" ht="12.75" customHeight="1" x14ac:dyDescent="0.2">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row>
    <row r="216" spans="1:28" ht="12.75" customHeight="1" x14ac:dyDescent="0.2">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row>
    <row r="217" spans="1:28" ht="12.75" customHeight="1" x14ac:dyDescent="0.2">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row>
    <row r="218" spans="1:28" ht="12.75" customHeight="1" x14ac:dyDescent="0.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row>
    <row r="219" spans="1:28" ht="12.75" customHeight="1" x14ac:dyDescent="0.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row>
    <row r="220" spans="1:28" ht="12.75" customHeight="1" x14ac:dyDescent="0.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row>
    <row r="221" spans="1:28" ht="12.75" customHeight="1" x14ac:dyDescent="0.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row>
    <row r="222" spans="1:28" ht="12.75" customHeight="1" x14ac:dyDescent="0.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row>
    <row r="223" spans="1:28" ht="12.75" customHeight="1" x14ac:dyDescent="0.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row>
    <row r="224" spans="1:28" ht="12.75" customHeight="1" x14ac:dyDescent="0.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row>
    <row r="225" spans="1:28" ht="12.75" customHeight="1" x14ac:dyDescent="0.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row>
    <row r="226" spans="1:28" ht="12.75" customHeight="1" x14ac:dyDescent="0.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row>
    <row r="227" spans="1:28" ht="12.75" customHeight="1" x14ac:dyDescent="0.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row>
    <row r="228" spans="1:28" ht="12.75" customHeight="1" x14ac:dyDescent="0.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row>
    <row r="229" spans="1:28" ht="12.75" customHeight="1" x14ac:dyDescent="0.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row>
    <row r="230" spans="1:28" ht="12.75" customHeight="1" x14ac:dyDescent="0.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row>
    <row r="231" spans="1:28" ht="12.75" customHeight="1" x14ac:dyDescent="0.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row>
    <row r="232" spans="1:28" ht="12.75" customHeight="1" x14ac:dyDescent="0.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row>
    <row r="233" spans="1:28" ht="12.75" customHeight="1" x14ac:dyDescent="0.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row>
    <row r="234" spans="1:28" ht="12.75" customHeight="1" x14ac:dyDescent="0.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row>
    <row r="235" spans="1:28" ht="12.75" customHeight="1" x14ac:dyDescent="0.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row>
    <row r="236" spans="1:28" ht="12.75" customHeight="1" x14ac:dyDescent="0.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row>
    <row r="237" spans="1:28" ht="12.75" customHeight="1" x14ac:dyDescent="0.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row>
    <row r="238" spans="1:28" ht="12.75" customHeight="1" x14ac:dyDescent="0.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row>
    <row r="239" spans="1:28" ht="12.75" customHeight="1" x14ac:dyDescent="0.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row>
    <row r="240" spans="1:28" ht="12.75" customHeight="1" x14ac:dyDescent="0.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row>
    <row r="241" spans="1:28" ht="12.75" customHeight="1" x14ac:dyDescent="0.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row>
    <row r="242" spans="1:28" ht="12.75" customHeight="1" x14ac:dyDescent="0.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row>
    <row r="243" spans="1:28" ht="12.75" customHeight="1" x14ac:dyDescent="0.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row>
    <row r="244" spans="1:28" ht="12.75" customHeight="1" x14ac:dyDescent="0.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row>
    <row r="245" spans="1:28" ht="12.75" customHeight="1" x14ac:dyDescent="0.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row>
    <row r="246" spans="1:28" ht="12.75" customHeight="1" x14ac:dyDescent="0.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row>
    <row r="247" spans="1:28" ht="12.75" customHeight="1" x14ac:dyDescent="0.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row>
    <row r="248" spans="1:28" ht="12.75" customHeight="1" x14ac:dyDescent="0.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row>
    <row r="249" spans="1:28" ht="12.75" customHeight="1" x14ac:dyDescent="0.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row>
    <row r="250" spans="1:28" ht="12.75" customHeight="1" x14ac:dyDescent="0.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row>
    <row r="251" spans="1:28" ht="12.75" customHeight="1" x14ac:dyDescent="0.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row>
    <row r="252" spans="1:28" ht="12.75" customHeight="1" x14ac:dyDescent="0.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row>
    <row r="253" spans="1:28" ht="12.75" customHeight="1" x14ac:dyDescent="0.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row>
    <row r="254" spans="1:28" ht="12.75" customHeight="1" x14ac:dyDescent="0.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row>
    <row r="255" spans="1:28" ht="12.75" customHeight="1" x14ac:dyDescent="0.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row>
    <row r="256" spans="1:28" ht="12.75" customHeight="1" x14ac:dyDescent="0.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row>
    <row r="257" spans="1:28" ht="12.75" customHeight="1" x14ac:dyDescent="0.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row>
    <row r="258" spans="1:28" ht="12.75" customHeight="1" x14ac:dyDescent="0.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row>
    <row r="259" spans="1:28" ht="12.75" customHeight="1" x14ac:dyDescent="0.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row>
    <row r="260" spans="1:28" ht="12.75" customHeight="1" x14ac:dyDescent="0.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row>
    <row r="261" spans="1:28" ht="12.75" customHeight="1" x14ac:dyDescent="0.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row>
    <row r="262" spans="1:28" ht="12.75" customHeight="1" x14ac:dyDescent="0.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row>
    <row r="263" spans="1:28" ht="12.75" customHeight="1" x14ac:dyDescent="0.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row>
    <row r="264" spans="1:28" ht="12.75" customHeight="1" x14ac:dyDescent="0.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row>
    <row r="265" spans="1:28" ht="12.75" customHeight="1" x14ac:dyDescent="0.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row>
    <row r="266" spans="1:28" ht="12.75" customHeight="1" x14ac:dyDescent="0.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row>
    <row r="267" spans="1:28" ht="12.75" customHeight="1" x14ac:dyDescent="0.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row>
    <row r="268" spans="1:28" ht="12.75" customHeight="1" x14ac:dyDescent="0.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row>
    <row r="269" spans="1:28" ht="12.75" customHeight="1" x14ac:dyDescent="0.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row>
    <row r="270" spans="1:28" ht="12.75" customHeight="1" x14ac:dyDescent="0.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row>
    <row r="271" spans="1:28" ht="12.75" customHeight="1" x14ac:dyDescent="0.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row>
    <row r="272" spans="1:28" ht="12.75" customHeight="1" x14ac:dyDescent="0.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row>
    <row r="273" spans="1:28" ht="12.75" customHeight="1" x14ac:dyDescent="0.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row>
    <row r="274" spans="1:28" ht="12.75" customHeight="1" x14ac:dyDescent="0.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row>
    <row r="275" spans="1:28" ht="12.75" customHeight="1" x14ac:dyDescent="0.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row>
    <row r="276" spans="1:28" ht="12.75" customHeight="1" x14ac:dyDescent="0.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row>
    <row r="277" spans="1:28" ht="12.75" customHeight="1" x14ac:dyDescent="0.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row>
    <row r="278" spans="1:28" ht="12.75" customHeight="1" x14ac:dyDescent="0.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row>
    <row r="279" spans="1:28" ht="12.75" customHeight="1" x14ac:dyDescent="0.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row>
    <row r="280" spans="1:28" ht="12.75" customHeight="1" x14ac:dyDescent="0.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row>
    <row r="281" spans="1:28" ht="12.75" customHeight="1" x14ac:dyDescent="0.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row>
    <row r="282" spans="1:28" ht="12.75" customHeight="1" x14ac:dyDescent="0.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row>
    <row r="283" spans="1:28" ht="12.75" customHeight="1" x14ac:dyDescent="0.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row>
    <row r="284" spans="1:28" ht="12.75" customHeight="1" x14ac:dyDescent="0.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row>
    <row r="285" spans="1:28" ht="12.75" customHeight="1" x14ac:dyDescent="0.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row>
    <row r="286" spans="1:28" ht="12.75" customHeight="1" x14ac:dyDescent="0.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row>
    <row r="287" spans="1:28" ht="12.75" customHeight="1" x14ac:dyDescent="0.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row>
    <row r="288" spans="1:28" ht="12.75" customHeight="1" x14ac:dyDescent="0.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row>
    <row r="289" spans="1:28" ht="12.75" customHeight="1" x14ac:dyDescent="0.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row>
    <row r="290" spans="1:28" ht="12.75" customHeight="1" x14ac:dyDescent="0.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row>
    <row r="291" spans="1:28" ht="12.75" customHeight="1" x14ac:dyDescent="0.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row>
    <row r="292" spans="1:28" ht="12.75" customHeight="1" x14ac:dyDescent="0.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row>
    <row r="293" spans="1:28" ht="12.75" customHeight="1" x14ac:dyDescent="0.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row>
    <row r="294" spans="1:28" ht="12.75" customHeight="1" x14ac:dyDescent="0.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row>
    <row r="295" spans="1:28" ht="12.75" customHeight="1" x14ac:dyDescent="0.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row>
    <row r="296" spans="1:28" ht="12.75" customHeight="1" x14ac:dyDescent="0.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row>
    <row r="297" spans="1:28" ht="12.75" customHeight="1" x14ac:dyDescent="0.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row>
    <row r="298" spans="1:28" ht="12.75" customHeight="1" x14ac:dyDescent="0.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row>
    <row r="299" spans="1:28" ht="12.75" customHeight="1" x14ac:dyDescent="0.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row>
    <row r="300" spans="1:28" ht="12.75" customHeight="1" x14ac:dyDescent="0.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row>
    <row r="301" spans="1:28" ht="12.75" customHeight="1" x14ac:dyDescent="0.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row>
    <row r="302" spans="1:28" ht="12.75" customHeight="1" x14ac:dyDescent="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row>
    <row r="303" spans="1:28" ht="12.75" customHeight="1" x14ac:dyDescent="0.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row>
    <row r="304" spans="1:28" ht="12.75" customHeight="1" x14ac:dyDescent="0.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row>
    <row r="305" spans="1:28" ht="12.75" customHeight="1" x14ac:dyDescent="0.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row>
    <row r="306" spans="1:28" ht="12.75" customHeight="1" x14ac:dyDescent="0.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row>
    <row r="307" spans="1:28" ht="12.75" customHeight="1" x14ac:dyDescent="0.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row>
    <row r="308" spans="1:28" ht="12.75" customHeight="1" x14ac:dyDescent="0.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row>
    <row r="309" spans="1:28" ht="12.75" customHeight="1" x14ac:dyDescent="0.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row>
    <row r="310" spans="1:28" ht="12.75" customHeight="1" x14ac:dyDescent="0.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row>
    <row r="311" spans="1:28" ht="12.75" customHeight="1" x14ac:dyDescent="0.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row>
    <row r="312" spans="1:28" ht="12.75" customHeight="1" x14ac:dyDescent="0.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row>
    <row r="313" spans="1:28" ht="12.75" customHeight="1" x14ac:dyDescent="0.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row>
    <row r="314" spans="1:28" ht="12.75" customHeight="1" x14ac:dyDescent="0.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row>
    <row r="315" spans="1:28" ht="12.75" customHeight="1" x14ac:dyDescent="0.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row>
    <row r="316" spans="1:28" ht="12.75" customHeight="1" x14ac:dyDescent="0.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row>
    <row r="317" spans="1:28" ht="12.75" customHeight="1" x14ac:dyDescent="0.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row>
    <row r="318" spans="1:28" ht="12.75" customHeight="1" x14ac:dyDescent="0.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row>
    <row r="319" spans="1:28" ht="12.75" customHeight="1" x14ac:dyDescent="0.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row>
    <row r="320" spans="1:28" ht="12.75" customHeight="1" x14ac:dyDescent="0.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row>
    <row r="321" spans="1:28" ht="12.75" customHeight="1" x14ac:dyDescent="0.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row>
    <row r="322" spans="1:28" ht="12.75" customHeight="1" x14ac:dyDescent="0.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row>
    <row r="323" spans="1:28" ht="12.75" customHeight="1" x14ac:dyDescent="0.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row>
    <row r="324" spans="1:28" ht="12.75" customHeight="1" x14ac:dyDescent="0.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row>
    <row r="325" spans="1:28" ht="12.75" customHeight="1" x14ac:dyDescent="0.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row>
    <row r="326" spans="1:28" ht="12.75" customHeight="1" x14ac:dyDescent="0.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row>
    <row r="327" spans="1:28" ht="12.75" customHeight="1" x14ac:dyDescent="0.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row>
    <row r="328" spans="1:28" ht="12.75" customHeight="1" x14ac:dyDescent="0.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row>
    <row r="329" spans="1:28" ht="12.75" customHeight="1" x14ac:dyDescent="0.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row>
    <row r="330" spans="1:28" ht="12.75" customHeight="1" x14ac:dyDescent="0.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row>
    <row r="331" spans="1:28" ht="12.75" customHeight="1" x14ac:dyDescent="0.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row>
    <row r="332" spans="1:28" ht="12.75" customHeight="1" x14ac:dyDescent="0.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row>
    <row r="333" spans="1:28" ht="12.75" customHeight="1" x14ac:dyDescent="0.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row>
    <row r="334" spans="1:28" ht="12.75" customHeight="1" x14ac:dyDescent="0.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row>
    <row r="335" spans="1:28" ht="12.75" customHeight="1" x14ac:dyDescent="0.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row>
    <row r="336" spans="1:28" ht="12.75" customHeight="1" x14ac:dyDescent="0.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row>
    <row r="337" spans="1:28" ht="12.75" customHeight="1" x14ac:dyDescent="0.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row>
    <row r="338" spans="1:28" ht="12.75" customHeight="1" x14ac:dyDescent="0.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row>
    <row r="339" spans="1:28" ht="12.75" customHeight="1" x14ac:dyDescent="0.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row>
    <row r="340" spans="1:28" ht="12.75" customHeight="1" x14ac:dyDescent="0.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row>
    <row r="341" spans="1:28" ht="12.75" customHeight="1" x14ac:dyDescent="0.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row>
    <row r="342" spans="1:28" ht="12.75" customHeight="1" x14ac:dyDescent="0.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row>
    <row r="343" spans="1:28" ht="12.75" customHeight="1" x14ac:dyDescent="0.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row>
    <row r="344" spans="1:28" ht="12.75" customHeight="1" x14ac:dyDescent="0.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row>
    <row r="345" spans="1:28" ht="12.75" customHeight="1" x14ac:dyDescent="0.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row>
    <row r="346" spans="1:28" ht="12.75" customHeight="1" x14ac:dyDescent="0.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row>
    <row r="347" spans="1:28" ht="12.75" customHeight="1" x14ac:dyDescent="0.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row>
    <row r="348" spans="1:28" ht="12.75" customHeight="1" x14ac:dyDescent="0.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row>
    <row r="349" spans="1:28" ht="12.75" customHeight="1" x14ac:dyDescent="0.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row>
    <row r="350" spans="1:28" ht="12.75" customHeight="1" x14ac:dyDescent="0.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row>
    <row r="351" spans="1:28" ht="12.75" customHeight="1" x14ac:dyDescent="0.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row>
    <row r="352" spans="1:28" ht="12.75" customHeight="1" x14ac:dyDescent="0.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row>
    <row r="353" spans="1:28" ht="12.75" customHeight="1" x14ac:dyDescent="0.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row>
    <row r="354" spans="1:28" ht="12.75" customHeight="1" x14ac:dyDescent="0.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row>
    <row r="355" spans="1:28" ht="12.75" customHeight="1" x14ac:dyDescent="0.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row>
    <row r="356" spans="1:28" ht="12.75" customHeight="1" x14ac:dyDescent="0.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row>
    <row r="357" spans="1:28" ht="12.75" customHeight="1" x14ac:dyDescent="0.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row>
    <row r="358" spans="1:28" ht="12.75" customHeight="1" x14ac:dyDescent="0.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row>
    <row r="359" spans="1:28" ht="12.75" customHeight="1" x14ac:dyDescent="0.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row>
    <row r="360" spans="1:28" ht="12.75" customHeight="1" x14ac:dyDescent="0.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row>
    <row r="361" spans="1:28" ht="12.75" customHeight="1" x14ac:dyDescent="0.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row>
    <row r="362" spans="1:28" ht="12.75" customHeight="1" x14ac:dyDescent="0.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row>
    <row r="363" spans="1:28" ht="12.75" customHeight="1" x14ac:dyDescent="0.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row>
    <row r="364" spans="1:28" ht="12.75" customHeight="1" x14ac:dyDescent="0.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row>
    <row r="365" spans="1:28" ht="12.75" customHeight="1" x14ac:dyDescent="0.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row>
    <row r="366" spans="1:28" ht="12.75" customHeight="1" x14ac:dyDescent="0.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row>
    <row r="367" spans="1:28" ht="12.75" customHeight="1" x14ac:dyDescent="0.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row>
    <row r="368" spans="1:28" ht="12.75" customHeight="1" x14ac:dyDescent="0.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row>
    <row r="369" spans="1:28" ht="12.75" customHeight="1" x14ac:dyDescent="0.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row>
    <row r="370" spans="1:28" ht="12.75" customHeight="1" x14ac:dyDescent="0.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row>
    <row r="371" spans="1:28" ht="12.75" customHeight="1" x14ac:dyDescent="0.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row>
    <row r="372" spans="1:28" ht="12.75" customHeight="1" x14ac:dyDescent="0.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row>
    <row r="373" spans="1:28" ht="12.75" customHeight="1" x14ac:dyDescent="0.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row>
    <row r="374" spans="1:28" ht="12.75" customHeight="1" x14ac:dyDescent="0.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row>
    <row r="375" spans="1:28" ht="12.75" customHeight="1" x14ac:dyDescent="0.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row>
    <row r="376" spans="1:28" ht="12.75" customHeight="1" x14ac:dyDescent="0.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row>
    <row r="377" spans="1:28" ht="12.75" customHeight="1" x14ac:dyDescent="0.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row>
    <row r="378" spans="1:28" ht="12.75" customHeight="1" x14ac:dyDescent="0.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row>
    <row r="379" spans="1:28" ht="12.75" customHeight="1" x14ac:dyDescent="0.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row>
    <row r="380" spans="1:28" ht="12.75" customHeight="1" x14ac:dyDescent="0.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row>
    <row r="381" spans="1:28" ht="12.75" customHeight="1" x14ac:dyDescent="0.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row>
    <row r="382" spans="1:28" ht="12.75" customHeight="1" x14ac:dyDescent="0.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row>
    <row r="383" spans="1:28" ht="12.75" customHeight="1" x14ac:dyDescent="0.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row>
    <row r="384" spans="1:28" ht="12.75" customHeight="1" x14ac:dyDescent="0.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row>
    <row r="385" spans="1:28" ht="12.75" customHeight="1" x14ac:dyDescent="0.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row>
    <row r="386" spans="1:28" ht="12.75" customHeight="1" x14ac:dyDescent="0.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row>
    <row r="387" spans="1:28" ht="12.75" customHeight="1" x14ac:dyDescent="0.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row>
    <row r="388" spans="1:28" ht="12.75" customHeight="1" x14ac:dyDescent="0.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row>
    <row r="389" spans="1:28" ht="12.75" customHeight="1" x14ac:dyDescent="0.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row>
    <row r="390" spans="1:28" ht="12.75" customHeight="1" x14ac:dyDescent="0.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row>
    <row r="391" spans="1:28" ht="12.75" customHeight="1" x14ac:dyDescent="0.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row>
    <row r="392" spans="1:28" ht="12.75" customHeight="1" x14ac:dyDescent="0.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row>
    <row r="393" spans="1:28" ht="12.75" customHeight="1" x14ac:dyDescent="0.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row>
    <row r="394" spans="1:28" ht="12.75" customHeight="1" x14ac:dyDescent="0.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row>
    <row r="395" spans="1:28" ht="12.75" customHeight="1" x14ac:dyDescent="0.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row>
    <row r="396" spans="1:28" ht="12.75" customHeight="1" x14ac:dyDescent="0.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row>
    <row r="397" spans="1:28" ht="12.75" customHeight="1" x14ac:dyDescent="0.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row>
    <row r="398" spans="1:28" ht="12.75" customHeight="1" x14ac:dyDescent="0.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row>
    <row r="399" spans="1:28" ht="12.75" customHeight="1" x14ac:dyDescent="0.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row>
    <row r="400" spans="1:28" ht="12.75" customHeight="1" x14ac:dyDescent="0.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row>
    <row r="401" spans="1:28" ht="12.75" customHeight="1" x14ac:dyDescent="0.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row>
    <row r="402" spans="1:28" ht="12.75" customHeight="1" x14ac:dyDescent="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row>
    <row r="403" spans="1:28" ht="12.75" customHeight="1" x14ac:dyDescent="0.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row>
    <row r="404" spans="1:28" ht="12.75" customHeight="1" x14ac:dyDescent="0.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row>
    <row r="405" spans="1:28" ht="12.75" customHeight="1" x14ac:dyDescent="0.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row>
    <row r="406" spans="1:28" ht="12.75" customHeight="1" x14ac:dyDescent="0.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row>
    <row r="407" spans="1:28" ht="12.75" customHeight="1" x14ac:dyDescent="0.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row>
    <row r="408" spans="1:28" ht="12.75" customHeight="1" x14ac:dyDescent="0.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row>
    <row r="409" spans="1:28" ht="12.75" customHeight="1" x14ac:dyDescent="0.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row>
    <row r="410" spans="1:28" ht="12.75" customHeight="1" x14ac:dyDescent="0.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row>
    <row r="411" spans="1:28" ht="12.75" customHeight="1" x14ac:dyDescent="0.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row>
    <row r="412" spans="1:28" ht="12.75" customHeight="1" x14ac:dyDescent="0.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row>
    <row r="413" spans="1:28" ht="12.75" customHeight="1" x14ac:dyDescent="0.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row>
    <row r="414" spans="1:28" ht="12.75" customHeight="1" x14ac:dyDescent="0.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row>
    <row r="415" spans="1:28" ht="12.75" customHeight="1" x14ac:dyDescent="0.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row>
    <row r="416" spans="1:28" ht="12.75" customHeight="1" x14ac:dyDescent="0.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row>
    <row r="417" spans="1:28" ht="12.75" customHeight="1" x14ac:dyDescent="0.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row>
    <row r="418" spans="1:28" ht="12.75" customHeight="1" x14ac:dyDescent="0.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row>
    <row r="419" spans="1:28" ht="12.75" customHeight="1" x14ac:dyDescent="0.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row>
    <row r="420" spans="1:28" ht="12.75" customHeight="1" x14ac:dyDescent="0.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row>
    <row r="421" spans="1:28" ht="12.75" customHeight="1" x14ac:dyDescent="0.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row>
    <row r="422" spans="1:28" ht="12.75" customHeight="1" x14ac:dyDescent="0.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row>
    <row r="423" spans="1:28" ht="12.75" customHeight="1" x14ac:dyDescent="0.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row>
    <row r="424" spans="1:28" ht="12.75" customHeight="1" x14ac:dyDescent="0.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row>
    <row r="425" spans="1:28" ht="12.75" customHeight="1" x14ac:dyDescent="0.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row>
    <row r="426" spans="1:28" ht="12.75" customHeight="1" x14ac:dyDescent="0.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row>
    <row r="427" spans="1:28" ht="12.75" customHeight="1" x14ac:dyDescent="0.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row>
    <row r="428" spans="1:28" ht="12.75" customHeight="1" x14ac:dyDescent="0.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row>
    <row r="429" spans="1:28" ht="12.75" customHeight="1" x14ac:dyDescent="0.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row>
    <row r="430" spans="1:28" ht="12.75" customHeight="1" x14ac:dyDescent="0.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row>
    <row r="431" spans="1:28" ht="12.75" customHeight="1" x14ac:dyDescent="0.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row>
    <row r="432" spans="1:28" ht="12.75" customHeight="1" x14ac:dyDescent="0.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row>
    <row r="433" spans="1:28" ht="12.75" customHeight="1" x14ac:dyDescent="0.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row>
    <row r="434" spans="1:28" ht="12.75" customHeight="1" x14ac:dyDescent="0.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row>
    <row r="435" spans="1:28" ht="12.75" customHeight="1" x14ac:dyDescent="0.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row>
    <row r="436" spans="1:28" ht="12.75" customHeight="1" x14ac:dyDescent="0.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row>
    <row r="437" spans="1:28" ht="12.75" customHeight="1" x14ac:dyDescent="0.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row>
    <row r="438" spans="1:28" ht="12.75" customHeight="1" x14ac:dyDescent="0.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row>
    <row r="439" spans="1:28" ht="12.75" customHeight="1" x14ac:dyDescent="0.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row>
    <row r="440" spans="1:28" ht="12.75" customHeight="1" x14ac:dyDescent="0.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row>
    <row r="441" spans="1:28" ht="12.75" customHeight="1" x14ac:dyDescent="0.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row>
    <row r="442" spans="1:28" ht="12.75" customHeight="1" x14ac:dyDescent="0.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row>
    <row r="443" spans="1:28" ht="12.75" customHeight="1" x14ac:dyDescent="0.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row>
    <row r="444" spans="1:28" ht="12.75" customHeight="1" x14ac:dyDescent="0.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row>
    <row r="445" spans="1:28" ht="12.75" customHeight="1" x14ac:dyDescent="0.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row>
    <row r="446" spans="1:28" ht="12.75" customHeight="1" x14ac:dyDescent="0.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row>
    <row r="447" spans="1:28" ht="12.75" customHeight="1" x14ac:dyDescent="0.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row>
    <row r="448" spans="1:28" ht="12.75" customHeight="1" x14ac:dyDescent="0.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row>
    <row r="449" spans="1:28" ht="12.75" customHeight="1" x14ac:dyDescent="0.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row>
    <row r="450" spans="1:28" ht="12.75" customHeight="1" x14ac:dyDescent="0.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row>
    <row r="451" spans="1:28" ht="12.75" customHeight="1" x14ac:dyDescent="0.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row>
    <row r="452" spans="1:28" ht="12.75" customHeight="1" x14ac:dyDescent="0.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row>
    <row r="453" spans="1:28" ht="12.75" customHeight="1" x14ac:dyDescent="0.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row>
    <row r="454" spans="1:28" ht="12.75" customHeight="1" x14ac:dyDescent="0.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row>
    <row r="455" spans="1:28" ht="12.75" customHeight="1" x14ac:dyDescent="0.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row>
    <row r="456" spans="1:28" ht="12.75" customHeight="1" x14ac:dyDescent="0.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row>
    <row r="457" spans="1:28" ht="12.75" customHeight="1" x14ac:dyDescent="0.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row>
    <row r="458" spans="1:28" ht="12.75" customHeight="1" x14ac:dyDescent="0.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row>
    <row r="459" spans="1:28" ht="12.75" customHeight="1" x14ac:dyDescent="0.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row>
    <row r="460" spans="1:28" ht="12.75" customHeight="1" x14ac:dyDescent="0.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row>
    <row r="461" spans="1:28" ht="12.75" customHeight="1" x14ac:dyDescent="0.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row>
    <row r="462" spans="1:28" ht="12.75" customHeight="1" x14ac:dyDescent="0.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row>
    <row r="463" spans="1:28" ht="12.75" customHeight="1" x14ac:dyDescent="0.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row>
    <row r="464" spans="1:28" ht="12.75" customHeight="1" x14ac:dyDescent="0.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row>
    <row r="465" spans="1:28" ht="12.75" customHeight="1" x14ac:dyDescent="0.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row>
    <row r="466" spans="1:28" ht="12.75" customHeight="1" x14ac:dyDescent="0.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row>
    <row r="467" spans="1:28" ht="12.75" customHeight="1" x14ac:dyDescent="0.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row>
    <row r="468" spans="1:28" ht="12.75" customHeight="1" x14ac:dyDescent="0.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row>
    <row r="469" spans="1:28" ht="12.75" customHeight="1" x14ac:dyDescent="0.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row>
    <row r="470" spans="1:28" ht="12.75" customHeight="1" x14ac:dyDescent="0.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row>
    <row r="471" spans="1:28" ht="12.75" customHeight="1" x14ac:dyDescent="0.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row>
    <row r="472" spans="1:28" ht="12.75" customHeight="1" x14ac:dyDescent="0.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row>
    <row r="473" spans="1:28" ht="12.75" customHeight="1" x14ac:dyDescent="0.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row>
    <row r="474" spans="1:28" ht="12.75" customHeight="1" x14ac:dyDescent="0.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row>
    <row r="475" spans="1:28" ht="12.75" customHeight="1" x14ac:dyDescent="0.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row>
    <row r="476" spans="1:28" ht="12.75" customHeight="1" x14ac:dyDescent="0.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row>
    <row r="477" spans="1:28" ht="12.75" customHeight="1" x14ac:dyDescent="0.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row>
    <row r="478" spans="1:28" ht="12.75" customHeight="1" x14ac:dyDescent="0.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row>
    <row r="479" spans="1:28" ht="12.75" customHeight="1" x14ac:dyDescent="0.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row>
    <row r="480" spans="1:28" ht="12.75" customHeight="1" x14ac:dyDescent="0.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row>
    <row r="481" spans="1:28" ht="12.75" customHeight="1" x14ac:dyDescent="0.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row>
    <row r="482" spans="1:28" ht="12.75" customHeight="1" x14ac:dyDescent="0.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row>
    <row r="483" spans="1:28" ht="12.75" customHeight="1" x14ac:dyDescent="0.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row>
    <row r="484" spans="1:28" ht="12.75" customHeight="1" x14ac:dyDescent="0.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row>
    <row r="485" spans="1:28" ht="12.75" customHeight="1" x14ac:dyDescent="0.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row>
    <row r="486" spans="1:28" ht="12.75" customHeight="1" x14ac:dyDescent="0.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row>
    <row r="487" spans="1:28" ht="12.75" customHeight="1" x14ac:dyDescent="0.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row>
    <row r="488" spans="1:28" ht="12.75" customHeight="1" x14ac:dyDescent="0.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row>
    <row r="489" spans="1:28" ht="12.75" customHeight="1" x14ac:dyDescent="0.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row>
    <row r="490" spans="1:28" ht="12.75" customHeight="1" x14ac:dyDescent="0.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row>
    <row r="491" spans="1:28" ht="12.75" customHeight="1" x14ac:dyDescent="0.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row>
    <row r="492" spans="1:28" ht="12.75" customHeight="1" x14ac:dyDescent="0.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row>
    <row r="493" spans="1:28" ht="12.75" customHeight="1" x14ac:dyDescent="0.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row>
    <row r="494" spans="1:28" ht="12.75" customHeight="1" x14ac:dyDescent="0.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row>
    <row r="495" spans="1:28" ht="12.75" customHeight="1" x14ac:dyDescent="0.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row>
    <row r="496" spans="1:28" ht="12.75" customHeight="1" x14ac:dyDescent="0.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row>
    <row r="497" spans="1:28" ht="12.75" customHeight="1" x14ac:dyDescent="0.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row>
    <row r="498" spans="1:28" ht="12.75" customHeight="1" x14ac:dyDescent="0.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row>
    <row r="499" spans="1:28" ht="12.75" customHeight="1" x14ac:dyDescent="0.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row>
    <row r="500" spans="1:28" ht="12.75" customHeight="1" x14ac:dyDescent="0.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row>
    <row r="501" spans="1:28" ht="12.75" customHeight="1" x14ac:dyDescent="0.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row>
    <row r="502" spans="1:28" ht="12.75" customHeight="1" x14ac:dyDescent="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row>
    <row r="503" spans="1:28" ht="12.75" customHeight="1" x14ac:dyDescent="0.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row>
    <row r="504" spans="1:28" ht="12.75" customHeight="1" x14ac:dyDescent="0.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row>
    <row r="505" spans="1:28" ht="12.75" customHeight="1" x14ac:dyDescent="0.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row>
    <row r="506" spans="1:28" ht="12.75" customHeight="1" x14ac:dyDescent="0.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row>
    <row r="507" spans="1:28" ht="12.75" customHeight="1" x14ac:dyDescent="0.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row>
    <row r="508" spans="1:28" ht="12.75" customHeight="1" x14ac:dyDescent="0.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row>
    <row r="509" spans="1:28" ht="12.75" customHeight="1" x14ac:dyDescent="0.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row>
    <row r="510" spans="1:28" ht="12.75" customHeight="1" x14ac:dyDescent="0.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row>
    <row r="511" spans="1:28" ht="12.75" customHeight="1" x14ac:dyDescent="0.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row>
    <row r="512" spans="1:28" ht="12.75" customHeight="1" x14ac:dyDescent="0.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row>
    <row r="513" spans="1:28" ht="12.75" customHeight="1" x14ac:dyDescent="0.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row>
    <row r="514" spans="1:28" ht="12.75" customHeight="1" x14ac:dyDescent="0.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row>
    <row r="515" spans="1:28" ht="12.75" customHeight="1" x14ac:dyDescent="0.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row>
    <row r="516" spans="1:28" ht="12.75" customHeight="1" x14ac:dyDescent="0.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row>
    <row r="517" spans="1:28" ht="12.75" customHeight="1" x14ac:dyDescent="0.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row>
    <row r="518" spans="1:28" ht="12.75" customHeight="1" x14ac:dyDescent="0.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row>
    <row r="519" spans="1:28" ht="12.75" customHeight="1" x14ac:dyDescent="0.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row>
    <row r="520" spans="1:28" ht="12.75" customHeight="1" x14ac:dyDescent="0.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row>
    <row r="521" spans="1:28" ht="12.75" customHeight="1" x14ac:dyDescent="0.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row>
    <row r="522" spans="1:28" ht="12.75" customHeight="1" x14ac:dyDescent="0.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row>
    <row r="523" spans="1:28" ht="12.75" customHeight="1" x14ac:dyDescent="0.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row>
    <row r="524" spans="1:28" ht="12.75" customHeight="1" x14ac:dyDescent="0.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row>
    <row r="525" spans="1:28" ht="12.75" customHeight="1" x14ac:dyDescent="0.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row>
    <row r="526" spans="1:28" ht="12.75" customHeight="1" x14ac:dyDescent="0.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row>
    <row r="527" spans="1:28" ht="12.75" customHeight="1" x14ac:dyDescent="0.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row>
    <row r="528" spans="1:28" ht="12.75" customHeight="1" x14ac:dyDescent="0.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row>
    <row r="529" spans="1:28" ht="12.75" customHeight="1" x14ac:dyDescent="0.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row>
    <row r="530" spans="1:28" ht="12.75" customHeight="1" x14ac:dyDescent="0.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row>
    <row r="531" spans="1:28" ht="12.75" customHeight="1" x14ac:dyDescent="0.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row>
    <row r="532" spans="1:28" ht="12.75" customHeight="1" x14ac:dyDescent="0.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row>
    <row r="533" spans="1:28" ht="12.75" customHeight="1" x14ac:dyDescent="0.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row>
    <row r="534" spans="1:28" ht="12.75" customHeight="1" x14ac:dyDescent="0.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row>
    <row r="535" spans="1:28" ht="12.75" customHeight="1" x14ac:dyDescent="0.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row>
    <row r="536" spans="1:28" ht="12.75" customHeight="1" x14ac:dyDescent="0.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row>
    <row r="537" spans="1:28" ht="12.75" customHeight="1" x14ac:dyDescent="0.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row>
    <row r="538" spans="1:28" ht="12.75" customHeight="1" x14ac:dyDescent="0.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row>
    <row r="539" spans="1:28" ht="12.75" customHeight="1" x14ac:dyDescent="0.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row>
    <row r="540" spans="1:28" ht="12.75" customHeight="1" x14ac:dyDescent="0.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row>
    <row r="541" spans="1:28" ht="12.75" customHeight="1" x14ac:dyDescent="0.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row>
    <row r="542" spans="1:28" ht="12.75" customHeight="1" x14ac:dyDescent="0.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row>
    <row r="543" spans="1:28" ht="12.75" customHeight="1" x14ac:dyDescent="0.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row>
    <row r="544" spans="1:28" ht="12.75" customHeight="1" x14ac:dyDescent="0.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row>
    <row r="545" spans="1:28" ht="12.75" customHeight="1" x14ac:dyDescent="0.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row>
    <row r="546" spans="1:28" ht="12.75" customHeight="1" x14ac:dyDescent="0.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row>
    <row r="547" spans="1:28" ht="12.75" customHeight="1" x14ac:dyDescent="0.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row>
    <row r="548" spans="1:28" ht="12.75" customHeight="1" x14ac:dyDescent="0.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row>
    <row r="549" spans="1:28" ht="12.75" customHeight="1" x14ac:dyDescent="0.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row>
    <row r="550" spans="1:28" ht="12.75" customHeight="1" x14ac:dyDescent="0.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row>
    <row r="551" spans="1:28" ht="12.75" customHeight="1" x14ac:dyDescent="0.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row>
    <row r="552" spans="1:28" ht="12.75" customHeight="1" x14ac:dyDescent="0.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row>
    <row r="553" spans="1:28" ht="12.75" customHeight="1" x14ac:dyDescent="0.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row>
    <row r="554" spans="1:28" ht="12.75" customHeight="1" x14ac:dyDescent="0.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row>
    <row r="555" spans="1:28" ht="12.75" customHeight="1" x14ac:dyDescent="0.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row>
    <row r="556" spans="1:28" ht="12.75" customHeight="1" x14ac:dyDescent="0.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row>
    <row r="557" spans="1:28" ht="12.75" customHeight="1" x14ac:dyDescent="0.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row>
    <row r="558" spans="1:28" ht="12.75" customHeight="1" x14ac:dyDescent="0.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row>
    <row r="559" spans="1:28" ht="12.75" customHeight="1" x14ac:dyDescent="0.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row>
    <row r="560" spans="1:28" ht="12.75" customHeight="1" x14ac:dyDescent="0.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row>
    <row r="561" spans="1:28" ht="12.75" customHeight="1" x14ac:dyDescent="0.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row>
    <row r="562" spans="1:28" ht="12.75" customHeight="1" x14ac:dyDescent="0.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row>
    <row r="563" spans="1:28" ht="12.75" customHeight="1" x14ac:dyDescent="0.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row>
    <row r="564" spans="1:28" ht="12.75" customHeight="1" x14ac:dyDescent="0.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row>
    <row r="565" spans="1:28" ht="12.75" customHeight="1" x14ac:dyDescent="0.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row>
    <row r="566" spans="1:28" ht="12.75" customHeight="1" x14ac:dyDescent="0.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row>
    <row r="567" spans="1:28" ht="12.75" customHeight="1" x14ac:dyDescent="0.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row>
    <row r="568" spans="1:28" ht="12.75" customHeight="1" x14ac:dyDescent="0.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row>
    <row r="569" spans="1:28" ht="12.75" customHeight="1" x14ac:dyDescent="0.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row>
    <row r="570" spans="1:28" ht="12.75" customHeight="1" x14ac:dyDescent="0.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row>
    <row r="571" spans="1:28" ht="12.75" customHeight="1" x14ac:dyDescent="0.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row>
    <row r="572" spans="1:28" ht="12.75" customHeight="1" x14ac:dyDescent="0.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row>
    <row r="573" spans="1:28" ht="12.75" customHeight="1" x14ac:dyDescent="0.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row>
    <row r="574" spans="1:28" ht="12.75" customHeight="1" x14ac:dyDescent="0.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row>
    <row r="575" spans="1:28" ht="12.75" customHeight="1" x14ac:dyDescent="0.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row>
    <row r="576" spans="1:28" ht="12.75" customHeight="1" x14ac:dyDescent="0.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row>
    <row r="577" spans="1:28" ht="12.75" customHeight="1" x14ac:dyDescent="0.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row>
    <row r="578" spans="1:28" ht="12.75" customHeight="1" x14ac:dyDescent="0.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row>
    <row r="579" spans="1:28" ht="12.75" customHeight="1" x14ac:dyDescent="0.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row>
    <row r="580" spans="1:28" ht="12.75" customHeight="1" x14ac:dyDescent="0.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row>
    <row r="581" spans="1:28" ht="12.75" customHeight="1" x14ac:dyDescent="0.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row>
    <row r="582" spans="1:28" ht="12.75" customHeight="1" x14ac:dyDescent="0.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row>
    <row r="583" spans="1:28" ht="12.75" customHeight="1" x14ac:dyDescent="0.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row>
    <row r="584" spans="1:28" ht="12.75" customHeight="1" x14ac:dyDescent="0.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row>
    <row r="585" spans="1:28" ht="12.75" customHeight="1" x14ac:dyDescent="0.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row>
    <row r="586" spans="1:28" ht="12.75" customHeight="1" x14ac:dyDescent="0.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row>
    <row r="587" spans="1:28" ht="12.75" customHeight="1" x14ac:dyDescent="0.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row>
    <row r="588" spans="1:28" ht="12.75" customHeight="1" x14ac:dyDescent="0.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row>
    <row r="589" spans="1:28" ht="12.75" customHeight="1" x14ac:dyDescent="0.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row>
    <row r="590" spans="1:28" ht="12.75" customHeight="1" x14ac:dyDescent="0.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row>
    <row r="591" spans="1:28" ht="12.75" customHeight="1" x14ac:dyDescent="0.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row>
    <row r="592" spans="1:28" ht="12.75" customHeight="1" x14ac:dyDescent="0.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row>
    <row r="593" spans="1:28" ht="12.75" customHeight="1" x14ac:dyDescent="0.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row>
    <row r="594" spans="1:28" ht="12.75" customHeight="1" x14ac:dyDescent="0.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row>
    <row r="595" spans="1:28" ht="12.75" customHeight="1" x14ac:dyDescent="0.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row>
    <row r="596" spans="1:28" ht="12.75" customHeight="1" x14ac:dyDescent="0.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row>
    <row r="597" spans="1:28" ht="12.75" customHeight="1" x14ac:dyDescent="0.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row>
    <row r="598" spans="1:28" ht="12.75" customHeight="1" x14ac:dyDescent="0.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row>
    <row r="599" spans="1:28" ht="12.75" customHeight="1" x14ac:dyDescent="0.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row>
    <row r="600" spans="1:28" ht="12.75" customHeight="1" x14ac:dyDescent="0.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row>
    <row r="601" spans="1:28" ht="12.75" customHeight="1" x14ac:dyDescent="0.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row>
    <row r="602" spans="1:28" ht="12.75" customHeight="1" x14ac:dyDescent="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row>
    <row r="603" spans="1:28" ht="12.75" customHeight="1" x14ac:dyDescent="0.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row>
    <row r="604" spans="1:28" ht="12.75" customHeight="1" x14ac:dyDescent="0.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row>
    <row r="605" spans="1:28" ht="12.75" customHeight="1" x14ac:dyDescent="0.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row>
    <row r="606" spans="1:28" ht="12.75" customHeight="1" x14ac:dyDescent="0.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row>
    <row r="607" spans="1:28" ht="12.75" customHeight="1" x14ac:dyDescent="0.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row>
    <row r="608" spans="1:28" ht="12.75" customHeight="1" x14ac:dyDescent="0.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row>
    <row r="609" spans="1:28" ht="12.75" customHeight="1" x14ac:dyDescent="0.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row>
    <row r="610" spans="1:28" ht="12.75" customHeight="1" x14ac:dyDescent="0.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row>
    <row r="611" spans="1:28" ht="12.75" customHeight="1" x14ac:dyDescent="0.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row>
    <row r="612" spans="1:28" ht="12.75" customHeight="1" x14ac:dyDescent="0.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row>
    <row r="613" spans="1:28" ht="12.75" customHeight="1" x14ac:dyDescent="0.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row>
    <row r="614" spans="1:28" ht="12.75" customHeight="1" x14ac:dyDescent="0.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row>
    <row r="615" spans="1:28" ht="12.75" customHeight="1" x14ac:dyDescent="0.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row>
    <row r="616" spans="1:28" ht="12.75" customHeight="1" x14ac:dyDescent="0.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row>
    <row r="617" spans="1:28" ht="12.75" customHeight="1" x14ac:dyDescent="0.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row>
    <row r="618" spans="1:28" ht="12.75" customHeight="1" x14ac:dyDescent="0.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row>
    <row r="619" spans="1:28" ht="12.75" customHeight="1" x14ac:dyDescent="0.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row>
    <row r="620" spans="1:28" ht="12.75" customHeight="1" x14ac:dyDescent="0.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row>
    <row r="621" spans="1:28" ht="12.75" customHeight="1" x14ac:dyDescent="0.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row>
    <row r="622" spans="1:28" ht="12.75" customHeight="1" x14ac:dyDescent="0.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row>
    <row r="623" spans="1:28" ht="12.75" customHeight="1" x14ac:dyDescent="0.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row>
    <row r="624" spans="1:28" ht="12.75" customHeight="1" x14ac:dyDescent="0.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row>
    <row r="625" spans="1:28" ht="12.75" customHeight="1" x14ac:dyDescent="0.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row>
    <row r="626" spans="1:28" ht="12.75" customHeight="1" x14ac:dyDescent="0.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row>
    <row r="627" spans="1:28" ht="12.75" customHeight="1" x14ac:dyDescent="0.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row>
    <row r="628" spans="1:28" ht="12.75" customHeight="1" x14ac:dyDescent="0.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row>
    <row r="629" spans="1:28" ht="12.75" customHeight="1" x14ac:dyDescent="0.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row>
    <row r="630" spans="1:28" ht="12.75" customHeight="1" x14ac:dyDescent="0.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row>
    <row r="631" spans="1:28" ht="12.75" customHeight="1" x14ac:dyDescent="0.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row>
    <row r="632" spans="1:28" ht="12.75" customHeight="1" x14ac:dyDescent="0.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row>
    <row r="633" spans="1:28" ht="12.75" customHeight="1" x14ac:dyDescent="0.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row>
    <row r="634" spans="1:28" ht="12.75" customHeight="1" x14ac:dyDescent="0.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row>
    <row r="635" spans="1:28" ht="12.75" customHeight="1" x14ac:dyDescent="0.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row>
    <row r="636" spans="1:28" ht="12.75" customHeight="1" x14ac:dyDescent="0.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row>
    <row r="637" spans="1:28" ht="12.75" customHeight="1" x14ac:dyDescent="0.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row>
    <row r="638" spans="1:28" ht="12.75" customHeight="1" x14ac:dyDescent="0.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row>
    <row r="639" spans="1:28" ht="12.75" customHeight="1" x14ac:dyDescent="0.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row>
    <row r="640" spans="1:28" ht="12.75" customHeight="1" x14ac:dyDescent="0.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row>
    <row r="641" spans="1:28" ht="12.75" customHeight="1" x14ac:dyDescent="0.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row>
    <row r="642" spans="1:28" ht="12.75" customHeight="1" x14ac:dyDescent="0.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row>
    <row r="643" spans="1:28" ht="12.75" customHeight="1" x14ac:dyDescent="0.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row>
    <row r="644" spans="1:28" ht="12.75" customHeight="1" x14ac:dyDescent="0.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row>
    <row r="645" spans="1:28" ht="12.75" customHeight="1" x14ac:dyDescent="0.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row>
    <row r="646" spans="1:28" ht="12.75" customHeight="1" x14ac:dyDescent="0.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row>
    <row r="647" spans="1:28" ht="12.75" customHeight="1" x14ac:dyDescent="0.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row>
    <row r="648" spans="1:28" ht="12.75" customHeight="1" x14ac:dyDescent="0.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row>
    <row r="649" spans="1:28" ht="12.75" customHeight="1" x14ac:dyDescent="0.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row>
    <row r="650" spans="1:28" ht="12.75" customHeight="1" x14ac:dyDescent="0.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row>
    <row r="651" spans="1:28" ht="12.75" customHeight="1" x14ac:dyDescent="0.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row>
    <row r="652" spans="1:28" ht="12.75" customHeight="1" x14ac:dyDescent="0.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row>
    <row r="653" spans="1:28" ht="12.75" customHeight="1" x14ac:dyDescent="0.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row>
    <row r="654" spans="1:28" ht="12.75" customHeight="1" x14ac:dyDescent="0.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row>
    <row r="655" spans="1:28" ht="12.75" customHeight="1" x14ac:dyDescent="0.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row>
    <row r="656" spans="1:28" ht="12.75" customHeight="1" x14ac:dyDescent="0.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row>
    <row r="657" spans="1:28" ht="12.75" customHeight="1" x14ac:dyDescent="0.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row>
    <row r="658" spans="1:28" ht="12.75" customHeight="1" x14ac:dyDescent="0.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row>
    <row r="659" spans="1:28" ht="12.75" customHeight="1" x14ac:dyDescent="0.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row>
    <row r="660" spans="1:28" ht="12.75" customHeight="1" x14ac:dyDescent="0.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row>
    <row r="661" spans="1:28" ht="12.75" customHeight="1" x14ac:dyDescent="0.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row>
    <row r="662" spans="1:28" ht="12.75" customHeight="1" x14ac:dyDescent="0.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row>
    <row r="663" spans="1:28" ht="12.75" customHeight="1" x14ac:dyDescent="0.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row>
    <row r="664" spans="1:28" ht="12.75" customHeight="1" x14ac:dyDescent="0.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row>
    <row r="665" spans="1:28" ht="12.75" customHeight="1" x14ac:dyDescent="0.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row>
    <row r="666" spans="1:28" ht="12.75" customHeight="1" x14ac:dyDescent="0.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row>
    <row r="667" spans="1:28" ht="12.75" customHeight="1" x14ac:dyDescent="0.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row>
    <row r="668" spans="1:28" ht="12.75" customHeight="1" x14ac:dyDescent="0.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row>
    <row r="669" spans="1:28" ht="12.75" customHeight="1" x14ac:dyDescent="0.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row>
    <row r="670" spans="1:28" ht="12.75" customHeight="1" x14ac:dyDescent="0.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row>
    <row r="671" spans="1:28" ht="12.75" customHeight="1" x14ac:dyDescent="0.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row>
    <row r="672" spans="1:28" ht="12.75" customHeight="1" x14ac:dyDescent="0.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row>
    <row r="673" spans="1:28" ht="12.75" customHeight="1" x14ac:dyDescent="0.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row>
    <row r="674" spans="1:28" ht="12.75" customHeight="1" x14ac:dyDescent="0.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row>
    <row r="675" spans="1:28" ht="12.75" customHeight="1" x14ac:dyDescent="0.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row>
    <row r="676" spans="1:28" ht="12.75" customHeight="1" x14ac:dyDescent="0.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row>
    <row r="677" spans="1:28" ht="12.75" customHeight="1" x14ac:dyDescent="0.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row>
    <row r="678" spans="1:28" ht="12.75" customHeight="1" x14ac:dyDescent="0.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row>
    <row r="679" spans="1:28" ht="12.75" customHeight="1" x14ac:dyDescent="0.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row>
    <row r="680" spans="1:28" ht="12.75" customHeight="1" x14ac:dyDescent="0.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row>
    <row r="681" spans="1:28" ht="12.75" customHeight="1" x14ac:dyDescent="0.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row>
    <row r="682" spans="1:28" ht="12.75" customHeight="1" x14ac:dyDescent="0.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row>
    <row r="683" spans="1:28" ht="12.75" customHeight="1" x14ac:dyDescent="0.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row>
    <row r="684" spans="1:28" ht="12.75" customHeight="1" x14ac:dyDescent="0.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row>
    <row r="685" spans="1:28" ht="12.75" customHeight="1" x14ac:dyDescent="0.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row>
    <row r="686" spans="1:28" ht="12.75" customHeight="1" x14ac:dyDescent="0.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row>
    <row r="687" spans="1:28" ht="12.75" customHeight="1" x14ac:dyDescent="0.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row>
    <row r="688" spans="1:28" ht="12.75" customHeight="1" x14ac:dyDescent="0.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row>
    <row r="689" spans="1:28" ht="12.75" customHeight="1" x14ac:dyDescent="0.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row>
    <row r="690" spans="1:28" ht="12.75" customHeight="1" x14ac:dyDescent="0.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row>
    <row r="691" spans="1:28" ht="12.75" customHeight="1" x14ac:dyDescent="0.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row>
    <row r="692" spans="1:28" ht="12.75" customHeight="1" x14ac:dyDescent="0.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row>
    <row r="693" spans="1:28" ht="12.75" customHeight="1" x14ac:dyDescent="0.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row>
    <row r="694" spans="1:28" ht="12.75" customHeight="1" x14ac:dyDescent="0.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row>
    <row r="695" spans="1:28" ht="12.75" customHeight="1" x14ac:dyDescent="0.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row>
    <row r="696" spans="1:28" ht="12.75" customHeight="1" x14ac:dyDescent="0.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row>
    <row r="697" spans="1:28" ht="12.75" customHeight="1" x14ac:dyDescent="0.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row>
    <row r="698" spans="1:28" ht="12.75" customHeight="1" x14ac:dyDescent="0.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row>
    <row r="699" spans="1:28" ht="12.75" customHeight="1" x14ac:dyDescent="0.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row>
    <row r="700" spans="1:28" ht="12.75" customHeight="1" x14ac:dyDescent="0.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row>
    <row r="701" spans="1:28" ht="12.75" customHeight="1" x14ac:dyDescent="0.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row>
    <row r="702" spans="1:28" ht="12.75" customHeight="1" x14ac:dyDescent="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row>
    <row r="703" spans="1:28" ht="12.75" customHeight="1" x14ac:dyDescent="0.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row>
    <row r="704" spans="1:28" ht="12.75" customHeight="1" x14ac:dyDescent="0.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row>
    <row r="705" spans="1:28" ht="12.75" customHeight="1" x14ac:dyDescent="0.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row>
    <row r="706" spans="1:28" ht="12.75" customHeight="1" x14ac:dyDescent="0.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row>
    <row r="707" spans="1:28" ht="12.75" customHeight="1" x14ac:dyDescent="0.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row>
    <row r="708" spans="1:28" ht="12.75" customHeight="1" x14ac:dyDescent="0.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row>
    <row r="709" spans="1:28" ht="12.75" customHeight="1" x14ac:dyDescent="0.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row>
    <row r="710" spans="1:28" ht="12.75" customHeight="1" x14ac:dyDescent="0.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row>
    <row r="711" spans="1:28" ht="12.75" customHeight="1" x14ac:dyDescent="0.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row>
    <row r="712" spans="1:28" ht="12.75" customHeight="1" x14ac:dyDescent="0.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row>
    <row r="713" spans="1:28" ht="12.75" customHeight="1" x14ac:dyDescent="0.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row>
    <row r="714" spans="1:28" ht="12.75" customHeight="1" x14ac:dyDescent="0.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row>
    <row r="715" spans="1:28" ht="12.75" customHeight="1" x14ac:dyDescent="0.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row>
    <row r="716" spans="1:28" ht="12.75" customHeight="1" x14ac:dyDescent="0.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row>
    <row r="717" spans="1:28" ht="12.75" customHeight="1" x14ac:dyDescent="0.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row>
    <row r="718" spans="1:28" ht="12.75" customHeight="1" x14ac:dyDescent="0.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row>
    <row r="719" spans="1:28" ht="12.75" customHeight="1" x14ac:dyDescent="0.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row>
    <row r="720" spans="1:28" ht="12.75" customHeight="1" x14ac:dyDescent="0.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row>
    <row r="721" spans="1:28" ht="12.75" customHeight="1" x14ac:dyDescent="0.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row>
    <row r="722" spans="1:28" ht="12.75" customHeight="1" x14ac:dyDescent="0.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row>
    <row r="723" spans="1:28" ht="12.75" customHeight="1" x14ac:dyDescent="0.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row>
    <row r="724" spans="1:28" ht="12.75" customHeight="1" x14ac:dyDescent="0.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row>
    <row r="725" spans="1:28" ht="12.75" customHeight="1" x14ac:dyDescent="0.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row>
    <row r="726" spans="1:28" ht="12.75" customHeight="1" x14ac:dyDescent="0.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row>
    <row r="727" spans="1:28" ht="12.75" customHeight="1" x14ac:dyDescent="0.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row>
    <row r="728" spans="1:28" ht="12.75" customHeight="1" x14ac:dyDescent="0.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row>
    <row r="729" spans="1:28" ht="12.75" customHeight="1" x14ac:dyDescent="0.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row>
    <row r="730" spans="1:28" ht="12.75" customHeight="1" x14ac:dyDescent="0.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row>
    <row r="731" spans="1:28" ht="12.75" customHeight="1" x14ac:dyDescent="0.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row>
    <row r="732" spans="1:28" ht="12.75" customHeight="1" x14ac:dyDescent="0.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row>
    <row r="733" spans="1:28" ht="12.75" customHeight="1" x14ac:dyDescent="0.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row>
    <row r="734" spans="1:28" ht="12.75" customHeight="1" x14ac:dyDescent="0.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row>
    <row r="735" spans="1:28" ht="12.75" customHeight="1" x14ac:dyDescent="0.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row>
    <row r="736" spans="1:28" ht="12.75" customHeight="1" x14ac:dyDescent="0.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row>
    <row r="737" spans="1:28" ht="12.75" customHeight="1" x14ac:dyDescent="0.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row>
    <row r="738" spans="1:28" ht="12.75" customHeight="1" x14ac:dyDescent="0.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row>
    <row r="739" spans="1:28" ht="12.75" customHeight="1" x14ac:dyDescent="0.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row>
    <row r="740" spans="1:28" ht="12.75" customHeight="1" x14ac:dyDescent="0.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row>
    <row r="741" spans="1:28" ht="12.75" customHeight="1" x14ac:dyDescent="0.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row>
    <row r="742" spans="1:28" ht="12.75" customHeight="1" x14ac:dyDescent="0.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row>
    <row r="743" spans="1:28" ht="12.75" customHeight="1" x14ac:dyDescent="0.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row>
    <row r="744" spans="1:28" ht="12.75" customHeight="1" x14ac:dyDescent="0.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row>
    <row r="745" spans="1:28" ht="12.75" customHeight="1" x14ac:dyDescent="0.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row>
    <row r="746" spans="1:28" ht="12.75" customHeight="1" x14ac:dyDescent="0.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row>
    <row r="747" spans="1:28" ht="12.75" customHeight="1" x14ac:dyDescent="0.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row>
    <row r="748" spans="1:28" ht="12.75" customHeight="1" x14ac:dyDescent="0.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row>
    <row r="749" spans="1:28" ht="12.75" customHeight="1" x14ac:dyDescent="0.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row>
    <row r="750" spans="1:28" ht="12.75" customHeight="1" x14ac:dyDescent="0.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row>
    <row r="751" spans="1:28" ht="12.75" customHeight="1" x14ac:dyDescent="0.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row>
    <row r="752" spans="1:28" ht="12.75" customHeight="1" x14ac:dyDescent="0.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row>
    <row r="753" spans="1:28" ht="12.75" customHeight="1" x14ac:dyDescent="0.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row>
    <row r="754" spans="1:28" ht="12.75" customHeight="1" x14ac:dyDescent="0.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row>
    <row r="755" spans="1:28" ht="12.75" customHeight="1" x14ac:dyDescent="0.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row>
    <row r="756" spans="1:28" ht="12.75" customHeight="1" x14ac:dyDescent="0.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row>
    <row r="757" spans="1:28" ht="12.75" customHeight="1" x14ac:dyDescent="0.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row>
    <row r="758" spans="1:28" ht="12.75" customHeight="1" x14ac:dyDescent="0.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row>
    <row r="759" spans="1:28" ht="12.75" customHeight="1" x14ac:dyDescent="0.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row>
    <row r="760" spans="1:28" ht="12.75" customHeight="1" x14ac:dyDescent="0.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row>
    <row r="761" spans="1:28" ht="12.75" customHeight="1" x14ac:dyDescent="0.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row>
    <row r="762" spans="1:28" ht="12.75" customHeight="1" x14ac:dyDescent="0.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row>
    <row r="763" spans="1:28" ht="12.75" customHeight="1" x14ac:dyDescent="0.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row>
    <row r="764" spans="1:28" ht="12.75" customHeight="1" x14ac:dyDescent="0.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row>
    <row r="765" spans="1:28" ht="12.75" customHeight="1" x14ac:dyDescent="0.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row>
    <row r="766" spans="1:28" ht="12.75" customHeight="1" x14ac:dyDescent="0.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row>
    <row r="767" spans="1:28" ht="12.75" customHeight="1" x14ac:dyDescent="0.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row>
    <row r="768" spans="1:28" ht="12.75" customHeight="1" x14ac:dyDescent="0.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row>
    <row r="769" spans="1:28" ht="12.75" customHeight="1" x14ac:dyDescent="0.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row>
    <row r="770" spans="1:28" ht="12.75" customHeight="1" x14ac:dyDescent="0.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row>
    <row r="771" spans="1:28" ht="12.75" customHeight="1" x14ac:dyDescent="0.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row>
    <row r="772" spans="1:28" ht="12.75" customHeight="1" x14ac:dyDescent="0.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row>
    <row r="773" spans="1:28" ht="12.75" customHeight="1" x14ac:dyDescent="0.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row>
    <row r="774" spans="1:28" ht="12.75" customHeight="1" x14ac:dyDescent="0.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row>
    <row r="775" spans="1:28" ht="12.75" customHeight="1" x14ac:dyDescent="0.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row>
    <row r="776" spans="1:28" ht="12.75" customHeight="1" x14ac:dyDescent="0.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row>
    <row r="777" spans="1:28" ht="12.75" customHeight="1" x14ac:dyDescent="0.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row>
    <row r="778" spans="1:28" ht="12.75" customHeight="1" x14ac:dyDescent="0.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row>
    <row r="779" spans="1:28" ht="12.75" customHeight="1" x14ac:dyDescent="0.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row>
    <row r="780" spans="1:28" ht="12.75" customHeight="1" x14ac:dyDescent="0.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row>
    <row r="781" spans="1:28" ht="12.75" customHeight="1" x14ac:dyDescent="0.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row>
    <row r="782" spans="1:28" ht="12.75" customHeight="1" x14ac:dyDescent="0.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row>
    <row r="783" spans="1:28" ht="12.75" customHeight="1" x14ac:dyDescent="0.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row>
    <row r="784" spans="1:28" ht="12.75" customHeight="1" x14ac:dyDescent="0.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row>
    <row r="785" spans="1:28" ht="12.75" customHeight="1" x14ac:dyDescent="0.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row>
    <row r="786" spans="1:28" ht="12.75" customHeight="1" x14ac:dyDescent="0.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row>
    <row r="787" spans="1:28" ht="12.75" customHeight="1" x14ac:dyDescent="0.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row>
    <row r="788" spans="1:28" ht="12.75" customHeight="1" x14ac:dyDescent="0.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row>
    <row r="789" spans="1:28" ht="12.75" customHeight="1" x14ac:dyDescent="0.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row>
    <row r="790" spans="1:28" ht="12.75" customHeight="1" x14ac:dyDescent="0.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row>
    <row r="791" spans="1:28" ht="12.75" customHeight="1" x14ac:dyDescent="0.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row>
    <row r="792" spans="1:28" ht="12.75" customHeight="1" x14ac:dyDescent="0.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row>
    <row r="793" spans="1:28" ht="12.75" customHeight="1" x14ac:dyDescent="0.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row>
    <row r="794" spans="1:28" ht="12.75" customHeight="1" x14ac:dyDescent="0.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row>
    <row r="795" spans="1:28" ht="12.75" customHeight="1" x14ac:dyDescent="0.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row>
    <row r="796" spans="1:28" ht="12.75" customHeight="1" x14ac:dyDescent="0.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row>
    <row r="797" spans="1:28" ht="12.75" customHeight="1" x14ac:dyDescent="0.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row>
    <row r="798" spans="1:28" ht="12.75" customHeight="1" x14ac:dyDescent="0.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row>
    <row r="799" spans="1:28" ht="12.75" customHeight="1" x14ac:dyDescent="0.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row>
    <row r="800" spans="1:28" ht="12.75" customHeight="1" x14ac:dyDescent="0.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row>
    <row r="801" spans="1:28" ht="12.75" customHeight="1" x14ac:dyDescent="0.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row>
    <row r="802" spans="1:28" ht="12.75" customHeight="1" x14ac:dyDescent="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row>
    <row r="803" spans="1:28" ht="12.75" customHeight="1" x14ac:dyDescent="0.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row>
    <row r="804" spans="1:28" ht="12.75" customHeight="1" x14ac:dyDescent="0.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row>
    <row r="805" spans="1:28" ht="12.75" customHeight="1" x14ac:dyDescent="0.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row>
    <row r="806" spans="1:28" ht="12.75" customHeight="1" x14ac:dyDescent="0.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row>
    <row r="807" spans="1:28" ht="12.75" customHeight="1" x14ac:dyDescent="0.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row>
    <row r="808" spans="1:28" ht="12.75" customHeight="1" x14ac:dyDescent="0.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row>
    <row r="809" spans="1:28" ht="12.75" customHeight="1" x14ac:dyDescent="0.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row>
    <row r="810" spans="1:28" ht="12.75" customHeight="1" x14ac:dyDescent="0.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row>
    <row r="811" spans="1:28" ht="12.75" customHeight="1" x14ac:dyDescent="0.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row>
    <row r="812" spans="1:28" ht="12.75" customHeight="1" x14ac:dyDescent="0.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row>
    <row r="813" spans="1:28" ht="12.75" customHeight="1" x14ac:dyDescent="0.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row>
    <row r="814" spans="1:28" ht="12.75" customHeight="1" x14ac:dyDescent="0.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row>
    <row r="815" spans="1:28" ht="12.75" customHeight="1" x14ac:dyDescent="0.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row>
    <row r="816" spans="1:28" ht="12.75" customHeight="1" x14ac:dyDescent="0.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row>
    <row r="817" spans="1:28" ht="12.75" customHeight="1" x14ac:dyDescent="0.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row>
    <row r="818" spans="1:28" ht="12.75" customHeight="1" x14ac:dyDescent="0.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row>
    <row r="819" spans="1:28" ht="12.75" customHeight="1" x14ac:dyDescent="0.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row>
    <row r="820" spans="1:28" ht="12.75" customHeight="1" x14ac:dyDescent="0.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row>
    <row r="821" spans="1:28" ht="12.75" customHeight="1" x14ac:dyDescent="0.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row>
    <row r="822" spans="1:28" ht="12.75" customHeight="1" x14ac:dyDescent="0.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row>
    <row r="823" spans="1:28" ht="12.75" customHeight="1" x14ac:dyDescent="0.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row>
    <row r="824" spans="1:28" ht="12.75" customHeight="1" x14ac:dyDescent="0.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row>
    <row r="825" spans="1:28" ht="12.75" customHeight="1" x14ac:dyDescent="0.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row>
    <row r="826" spans="1:28" ht="12.75" customHeight="1" x14ac:dyDescent="0.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row>
    <row r="827" spans="1:28" ht="12.75" customHeight="1" x14ac:dyDescent="0.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row>
    <row r="828" spans="1:28" ht="12.75" customHeight="1" x14ac:dyDescent="0.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row>
    <row r="829" spans="1:28" ht="12.75" customHeight="1" x14ac:dyDescent="0.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row>
    <row r="830" spans="1:28" ht="12.75" customHeight="1" x14ac:dyDescent="0.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row>
    <row r="831" spans="1:28" ht="12.75" customHeight="1" x14ac:dyDescent="0.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row>
    <row r="832" spans="1:28" ht="12.75" customHeight="1" x14ac:dyDescent="0.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row>
    <row r="833" spans="1:28" ht="12.75" customHeight="1" x14ac:dyDescent="0.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row>
    <row r="834" spans="1:28" ht="12.75" customHeight="1" x14ac:dyDescent="0.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row>
    <row r="835" spans="1:28" ht="12.75" customHeight="1" x14ac:dyDescent="0.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row>
    <row r="836" spans="1:28" ht="12.75" customHeight="1" x14ac:dyDescent="0.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row>
    <row r="837" spans="1:28" ht="12.75" customHeight="1" x14ac:dyDescent="0.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row>
    <row r="838" spans="1:28" ht="12.75" customHeight="1" x14ac:dyDescent="0.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row>
    <row r="839" spans="1:28" ht="12.75" customHeight="1" x14ac:dyDescent="0.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row>
    <row r="840" spans="1:28" ht="12.75" customHeight="1" x14ac:dyDescent="0.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row>
    <row r="841" spans="1:28" ht="12.75" customHeight="1" x14ac:dyDescent="0.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row>
    <row r="842" spans="1:28" ht="12.75" customHeight="1" x14ac:dyDescent="0.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row>
    <row r="843" spans="1:28" ht="12.75" customHeight="1" x14ac:dyDescent="0.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row>
    <row r="844" spans="1:28" ht="12.75" customHeight="1" x14ac:dyDescent="0.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row>
    <row r="845" spans="1:28" ht="12.75" customHeight="1" x14ac:dyDescent="0.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row>
    <row r="846" spans="1:28" ht="12.75" customHeight="1" x14ac:dyDescent="0.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row>
    <row r="847" spans="1:28" ht="12.75" customHeight="1" x14ac:dyDescent="0.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row>
    <row r="848" spans="1:28" ht="12.75" customHeight="1" x14ac:dyDescent="0.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row>
    <row r="849" spans="1:28" ht="12.75" customHeight="1" x14ac:dyDescent="0.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row>
    <row r="850" spans="1:28" ht="12.75" customHeight="1" x14ac:dyDescent="0.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row>
    <row r="851" spans="1:28" ht="12.75" customHeight="1" x14ac:dyDescent="0.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row>
    <row r="852" spans="1:28" ht="12.75" customHeight="1" x14ac:dyDescent="0.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row>
    <row r="853" spans="1:28" ht="12.75" customHeight="1" x14ac:dyDescent="0.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row>
    <row r="854" spans="1:28" ht="12.75" customHeight="1" x14ac:dyDescent="0.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row>
    <row r="855" spans="1:28" ht="12.75" customHeight="1" x14ac:dyDescent="0.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row>
    <row r="856" spans="1:28" ht="12.75" customHeight="1" x14ac:dyDescent="0.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row>
    <row r="857" spans="1:28" ht="12.75" customHeight="1" x14ac:dyDescent="0.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row>
    <row r="858" spans="1:28" ht="12.75" customHeight="1" x14ac:dyDescent="0.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row>
    <row r="859" spans="1:28" ht="12.75" customHeight="1" x14ac:dyDescent="0.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row>
    <row r="860" spans="1:28" ht="12.75" customHeight="1" x14ac:dyDescent="0.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row>
    <row r="861" spans="1:28" ht="12.75" customHeight="1" x14ac:dyDescent="0.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row>
    <row r="862" spans="1:28" ht="12.75" customHeight="1" x14ac:dyDescent="0.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row>
    <row r="863" spans="1:28" ht="12.75" customHeight="1" x14ac:dyDescent="0.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row>
    <row r="864" spans="1:28" ht="12.75" customHeight="1" x14ac:dyDescent="0.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row>
    <row r="865" spans="1:28" ht="12.75" customHeight="1" x14ac:dyDescent="0.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row>
    <row r="866" spans="1:28" ht="12.75" customHeight="1" x14ac:dyDescent="0.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row>
    <row r="867" spans="1:28" ht="12.75" customHeight="1" x14ac:dyDescent="0.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row>
    <row r="868" spans="1:28" ht="12.75" customHeight="1" x14ac:dyDescent="0.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row>
    <row r="869" spans="1:28" ht="12.75" customHeight="1" x14ac:dyDescent="0.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row>
    <row r="870" spans="1:28" ht="12.75" customHeight="1" x14ac:dyDescent="0.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row>
    <row r="871" spans="1:28" ht="12.75" customHeight="1" x14ac:dyDescent="0.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row>
    <row r="872" spans="1:28" ht="12.75" customHeight="1" x14ac:dyDescent="0.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row>
    <row r="873" spans="1:28" ht="12.75" customHeight="1" x14ac:dyDescent="0.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row>
    <row r="874" spans="1:28" ht="12.75" customHeight="1" x14ac:dyDescent="0.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row>
    <row r="875" spans="1:28" ht="12.75" customHeight="1" x14ac:dyDescent="0.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row>
    <row r="876" spans="1:28" ht="12.75" customHeight="1" x14ac:dyDescent="0.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row>
    <row r="877" spans="1:28" ht="12.75" customHeight="1" x14ac:dyDescent="0.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row>
    <row r="878" spans="1:28" ht="12.75" customHeight="1" x14ac:dyDescent="0.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row>
    <row r="879" spans="1:28" ht="12.75" customHeight="1" x14ac:dyDescent="0.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row>
    <row r="880" spans="1:28" ht="12.75" customHeight="1" x14ac:dyDescent="0.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row>
    <row r="881" spans="1:28" ht="12.75" customHeight="1" x14ac:dyDescent="0.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row>
    <row r="882" spans="1:28" ht="12.75" customHeight="1" x14ac:dyDescent="0.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row>
    <row r="883" spans="1:28" ht="12.75" customHeight="1" x14ac:dyDescent="0.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row>
    <row r="884" spans="1:28" ht="12.75" customHeight="1" x14ac:dyDescent="0.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row>
    <row r="885" spans="1:28" ht="12.75" customHeight="1" x14ac:dyDescent="0.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row>
    <row r="886" spans="1:28" ht="12.75" customHeight="1" x14ac:dyDescent="0.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row>
    <row r="887" spans="1:28" ht="12.75" customHeight="1" x14ac:dyDescent="0.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row>
    <row r="888" spans="1:28" ht="12.75" customHeight="1" x14ac:dyDescent="0.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row>
    <row r="889" spans="1:28" ht="12.75" customHeight="1" x14ac:dyDescent="0.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row>
    <row r="890" spans="1:28" ht="12.75" customHeight="1" x14ac:dyDescent="0.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row>
    <row r="891" spans="1:28" ht="12.75" customHeight="1" x14ac:dyDescent="0.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row>
    <row r="892" spans="1:28" ht="12.75" customHeight="1" x14ac:dyDescent="0.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row>
    <row r="893" spans="1:28" ht="12.75" customHeight="1" x14ac:dyDescent="0.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row>
    <row r="894" spans="1:28" ht="12.75" customHeight="1" x14ac:dyDescent="0.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row>
    <row r="895" spans="1:28" ht="12.75" customHeight="1" x14ac:dyDescent="0.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row>
    <row r="896" spans="1:28" ht="12.75" customHeight="1" x14ac:dyDescent="0.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row>
    <row r="897" spans="1:28" ht="12.75" customHeight="1" x14ac:dyDescent="0.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row>
    <row r="898" spans="1:28" ht="12.75" customHeight="1" x14ac:dyDescent="0.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row>
    <row r="899" spans="1:28" ht="12.75" customHeight="1" x14ac:dyDescent="0.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row>
    <row r="900" spans="1:28" ht="12.75" customHeight="1" x14ac:dyDescent="0.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row>
    <row r="901" spans="1:28" ht="12.75" customHeight="1" x14ac:dyDescent="0.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row>
    <row r="902" spans="1:28" ht="12.75" customHeight="1" x14ac:dyDescent="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row>
    <row r="903" spans="1:28" ht="12.75" customHeight="1" x14ac:dyDescent="0.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row>
    <row r="904" spans="1:28" ht="12.75" customHeight="1" x14ac:dyDescent="0.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row>
    <row r="905" spans="1:28" ht="12.75" customHeight="1" x14ac:dyDescent="0.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row>
    <row r="906" spans="1:28" ht="12.75" customHeight="1" x14ac:dyDescent="0.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row>
    <row r="907" spans="1:28" ht="12.75" customHeight="1" x14ac:dyDescent="0.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row>
    <row r="908" spans="1:28" ht="12.75" customHeight="1" x14ac:dyDescent="0.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row>
    <row r="909" spans="1:28" ht="12.75" customHeight="1" x14ac:dyDescent="0.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row>
    <row r="910" spans="1:28" ht="12.75" customHeight="1" x14ac:dyDescent="0.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row>
    <row r="911" spans="1:28" ht="12.75" customHeight="1" x14ac:dyDescent="0.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row>
    <row r="912" spans="1:28" ht="12.75" customHeight="1" x14ac:dyDescent="0.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row>
    <row r="913" spans="1:28" ht="12.75" customHeight="1" x14ac:dyDescent="0.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row>
    <row r="914" spans="1:28" ht="12.75" customHeight="1" x14ac:dyDescent="0.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row>
    <row r="915" spans="1:28" ht="12.75" customHeight="1" x14ac:dyDescent="0.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row>
    <row r="916" spans="1:28" ht="12.75" customHeight="1" x14ac:dyDescent="0.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row>
    <row r="917" spans="1:28" ht="12.75" customHeight="1" x14ac:dyDescent="0.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row>
    <row r="918" spans="1:28" ht="12.75" customHeight="1" x14ac:dyDescent="0.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row>
    <row r="919" spans="1:28" ht="12.75" customHeight="1" x14ac:dyDescent="0.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row>
    <row r="920" spans="1:28" ht="12.75" customHeight="1" x14ac:dyDescent="0.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row>
    <row r="921" spans="1:28" ht="12.75" customHeight="1" x14ac:dyDescent="0.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row>
    <row r="922" spans="1:28" ht="12.75" customHeight="1" x14ac:dyDescent="0.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row>
    <row r="923" spans="1:28" ht="12.75" customHeight="1" x14ac:dyDescent="0.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row>
    <row r="924" spans="1:28" ht="12.75" customHeight="1" x14ac:dyDescent="0.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row>
    <row r="925" spans="1:28" ht="12.75" customHeight="1" x14ac:dyDescent="0.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row>
    <row r="926" spans="1:28" ht="12.75" customHeight="1" x14ac:dyDescent="0.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row>
    <row r="927" spans="1:28" ht="12.75" customHeight="1" x14ac:dyDescent="0.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row>
    <row r="928" spans="1:28" ht="12.75" customHeight="1" x14ac:dyDescent="0.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row>
    <row r="929" spans="1:28" ht="12.75" customHeight="1" x14ac:dyDescent="0.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row>
    <row r="930" spans="1:28" ht="12.75" customHeight="1" x14ac:dyDescent="0.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row>
    <row r="931" spans="1:28" ht="12.75" customHeight="1" x14ac:dyDescent="0.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row>
    <row r="932" spans="1:28" ht="12.75" customHeight="1" x14ac:dyDescent="0.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row>
    <row r="933" spans="1:28" ht="12.75" customHeight="1" x14ac:dyDescent="0.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row>
    <row r="934" spans="1:28" ht="12.75" customHeight="1" x14ac:dyDescent="0.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row>
    <row r="935" spans="1:28" ht="12.75" customHeight="1" x14ac:dyDescent="0.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row>
    <row r="936" spans="1:28" ht="12.75" customHeight="1" x14ac:dyDescent="0.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row>
    <row r="937" spans="1:28" ht="12.75" customHeight="1" x14ac:dyDescent="0.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row>
    <row r="938" spans="1:28" ht="12.75" customHeight="1" x14ac:dyDescent="0.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row>
    <row r="939" spans="1:28" ht="12.75" customHeight="1" x14ac:dyDescent="0.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row>
    <row r="940" spans="1:28" ht="12.75" customHeight="1" x14ac:dyDescent="0.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row>
    <row r="941" spans="1:28" ht="12.75" customHeight="1" x14ac:dyDescent="0.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row>
    <row r="942" spans="1:28" ht="12.75" customHeight="1" x14ac:dyDescent="0.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row>
    <row r="943" spans="1:28" ht="12.75" customHeight="1" x14ac:dyDescent="0.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row>
    <row r="944" spans="1:28" ht="12.75" customHeight="1" x14ac:dyDescent="0.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row>
    <row r="945" spans="1:28" ht="12.75" customHeight="1" x14ac:dyDescent="0.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row>
    <row r="946" spans="1:28" ht="12.75" customHeight="1" x14ac:dyDescent="0.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row>
    <row r="947" spans="1:28" ht="12.75" customHeight="1" x14ac:dyDescent="0.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row>
    <row r="948" spans="1:28" ht="12.75" customHeight="1" x14ac:dyDescent="0.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row>
    <row r="949" spans="1:28" ht="12.75" customHeight="1" x14ac:dyDescent="0.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row>
    <row r="950" spans="1:28" ht="12.75" customHeight="1" x14ac:dyDescent="0.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row>
    <row r="951" spans="1:28" ht="12.75" customHeight="1" x14ac:dyDescent="0.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row>
    <row r="952" spans="1:28" ht="12.75" customHeight="1" x14ac:dyDescent="0.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row>
    <row r="953" spans="1:28" ht="12.75" customHeight="1" x14ac:dyDescent="0.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row>
    <row r="954" spans="1:28" ht="12.75" customHeight="1" x14ac:dyDescent="0.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row>
    <row r="955" spans="1:28" ht="12.75" customHeight="1" x14ac:dyDescent="0.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row>
    <row r="956" spans="1:28" ht="12.75" customHeight="1" x14ac:dyDescent="0.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row>
    <row r="957" spans="1:28" ht="12.75" customHeight="1" x14ac:dyDescent="0.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row>
    <row r="958" spans="1:28" ht="12.75" customHeight="1" x14ac:dyDescent="0.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row>
    <row r="959" spans="1:28" ht="12.75" customHeight="1" x14ac:dyDescent="0.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row>
    <row r="960" spans="1:28" ht="12.75" customHeight="1" x14ac:dyDescent="0.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row>
    <row r="961" spans="1:28" ht="12.75" customHeight="1" x14ac:dyDescent="0.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row>
    <row r="962" spans="1:28" ht="12.75" customHeight="1" x14ac:dyDescent="0.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row>
    <row r="963" spans="1:28" ht="12.75" customHeight="1" x14ac:dyDescent="0.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row>
    <row r="964" spans="1:28" ht="12.75" customHeight="1" x14ac:dyDescent="0.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row>
    <row r="965" spans="1:28" ht="12.75" customHeight="1" x14ac:dyDescent="0.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row>
    <row r="966" spans="1:28" ht="12.75" customHeight="1" x14ac:dyDescent="0.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row>
    <row r="967" spans="1:28" ht="12.75" customHeight="1" x14ac:dyDescent="0.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row>
    <row r="968" spans="1:28" ht="12.75" customHeight="1" x14ac:dyDescent="0.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row>
    <row r="969" spans="1:28" ht="12.75" customHeight="1" x14ac:dyDescent="0.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row>
    <row r="970" spans="1:28" ht="12.75" customHeight="1" x14ac:dyDescent="0.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row>
    <row r="971" spans="1:28" ht="12.75" customHeight="1" x14ac:dyDescent="0.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row>
    <row r="972" spans="1:28" ht="12.75" customHeight="1" x14ac:dyDescent="0.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row>
    <row r="973" spans="1:28" ht="12.75" customHeight="1" x14ac:dyDescent="0.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row>
    <row r="974" spans="1:28" ht="12.75" customHeight="1" x14ac:dyDescent="0.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row>
    <row r="975" spans="1:28" ht="12.75" customHeight="1" x14ac:dyDescent="0.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row>
    <row r="976" spans="1:28" ht="12.75" customHeight="1" x14ac:dyDescent="0.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row>
    <row r="977" spans="1:28" ht="12.75" customHeight="1" x14ac:dyDescent="0.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row>
    <row r="978" spans="1:28" ht="12.75" customHeight="1" x14ac:dyDescent="0.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row>
    <row r="979" spans="1:28" ht="12.75" customHeight="1" x14ac:dyDescent="0.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row>
    <row r="980" spans="1:28" ht="12.75" customHeight="1" x14ac:dyDescent="0.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row>
    <row r="981" spans="1:28" ht="12.75" customHeight="1" x14ac:dyDescent="0.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row>
    <row r="982" spans="1:28" ht="12.75" customHeight="1" x14ac:dyDescent="0.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row>
    <row r="983" spans="1:28" ht="12.75" customHeight="1" x14ac:dyDescent="0.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row>
    <row r="984" spans="1:28" ht="12.75" customHeight="1" x14ac:dyDescent="0.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row>
    <row r="985" spans="1:28" ht="12.75" customHeight="1" x14ac:dyDescent="0.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row>
    <row r="986" spans="1:28" ht="12.75" customHeight="1" x14ac:dyDescent="0.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row>
    <row r="987" spans="1:28" ht="12.75" customHeight="1" x14ac:dyDescent="0.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row>
    <row r="988" spans="1:28" ht="12.75" customHeight="1" x14ac:dyDescent="0.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row>
    <row r="989" spans="1:28" ht="12.75" customHeight="1" x14ac:dyDescent="0.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row>
    <row r="990" spans="1:28" ht="12.75" customHeight="1" x14ac:dyDescent="0.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row>
    <row r="991" spans="1:28" ht="12.75" customHeight="1" x14ac:dyDescent="0.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row>
    <row r="992" spans="1:28" ht="12.75" customHeight="1" x14ac:dyDescent="0.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row>
    <row r="993" spans="1:28" ht="12.75" customHeight="1" x14ac:dyDescent="0.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row>
    <row r="994" spans="1:28" ht="12.75" customHeight="1" x14ac:dyDescent="0.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row>
    <row r="995" spans="1:28" ht="12.75" customHeight="1" x14ac:dyDescent="0.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row>
    <row r="996" spans="1:28" ht="12.75" customHeight="1" x14ac:dyDescent="0.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row>
  </sheetData>
  <mergeCells count="10">
    <mergeCell ref="A16:D16"/>
    <mergeCell ref="A5:J5"/>
    <mergeCell ref="A6:A7"/>
    <mergeCell ref="B6:B7"/>
    <mergeCell ref="C6:C7"/>
    <mergeCell ref="D6:D7"/>
    <mergeCell ref="E6:E7"/>
    <mergeCell ref="F6:G6"/>
    <mergeCell ref="H6:I6"/>
    <mergeCell ref="J6:J7"/>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96"/>
  <sheetViews>
    <sheetView showGridLines="0" workbookViewId="0">
      <pane ySplit="7" topLeftCell="A8" activePane="bottomLeft" state="frozen"/>
      <selection pane="bottomLeft" activeCell="G17" sqref="G17"/>
    </sheetView>
    <sheetView workbookViewId="1"/>
  </sheetViews>
  <sheetFormatPr defaultColWidth="0" defaultRowHeight="12.75" x14ac:dyDescent="0.2"/>
  <cols>
    <col min="1" max="1" width="35.42578125" customWidth="1"/>
    <col min="2" max="2" width="28.42578125" customWidth="1"/>
    <col min="3" max="3" width="9.28515625" customWidth="1"/>
    <col min="4" max="4" width="10.42578125" customWidth="1"/>
    <col min="5" max="5" width="39" customWidth="1"/>
    <col min="6" max="6" width="11.5703125" bestFit="1" customWidth="1"/>
    <col min="7" max="7" width="10.7109375" customWidth="1"/>
    <col min="8" max="8" width="10" customWidth="1"/>
    <col min="9" max="10" width="10" hidden="1" customWidth="1"/>
    <col min="11" max="11" width="14.28515625" hidden="1" customWidth="1"/>
    <col min="12" max="27" width="10" hidden="1" customWidth="1"/>
    <col min="28" max="16384" width="12.42578125" hidden="1"/>
  </cols>
  <sheetData>
    <row r="1" spans="1:25" x14ac:dyDescent="0.2">
      <c r="A1" s="196" t="str">
        <f>'RESUMEN GENERAL'!A3</f>
        <v xml:space="preserve">Título del proyecto:   </v>
      </c>
      <c r="B1" t="str" cm="1">
        <f t="array" ref="B1:J1">'RESUMEN GENERAL'!B3:J3</f>
        <v xml:space="preserve">Funciones evolutivas del habla dirigida a bebés: Impacto en la atención, las preferencias auditivas y el desarrollo lingüístico y musical temprano </v>
      </c>
      <c r="C1" s="159">
        <v>0</v>
      </c>
      <c r="D1" s="159">
        <v>0</v>
      </c>
      <c r="E1" s="159">
        <v>0</v>
      </c>
      <c r="F1" s="159">
        <v>0</v>
      </c>
      <c r="G1" s="159">
        <v>0</v>
      </c>
      <c r="H1" s="159">
        <v>0</v>
      </c>
      <c r="I1" s="159">
        <v>0</v>
      </c>
      <c r="J1">
        <v>0</v>
      </c>
    </row>
    <row r="2" spans="1:25" x14ac:dyDescent="0.2">
      <c r="A2" s="196" t="str">
        <f>'RESUMEN GENERAL'!A4</f>
        <v xml:space="preserve">Investigador Principal: </v>
      </c>
      <c r="B2" t="str" cm="1">
        <f t="array" ref="B2:J2">'RESUMEN GENERAL'!B4:J4</f>
        <v>Juan David Leongómez Peña</v>
      </c>
      <c r="C2" s="159">
        <v>0</v>
      </c>
      <c r="D2" s="159">
        <v>0</v>
      </c>
      <c r="E2" s="159">
        <v>0</v>
      </c>
      <c r="F2" s="159">
        <v>0</v>
      </c>
      <c r="G2" s="159">
        <v>0</v>
      </c>
      <c r="H2" s="159">
        <v>0</v>
      </c>
      <c r="I2" s="159">
        <v>0</v>
      </c>
      <c r="J2">
        <v>0</v>
      </c>
    </row>
    <row r="4" spans="1:25" x14ac:dyDescent="0.2">
      <c r="A4" s="295" t="s">
        <v>138</v>
      </c>
      <c r="B4" s="268"/>
      <c r="C4" s="268"/>
      <c r="D4" s="268"/>
      <c r="E4" s="268"/>
      <c r="F4" s="268"/>
      <c r="G4" s="268"/>
    </row>
    <row r="5" spans="1:25" ht="70.5" customHeight="1" x14ac:dyDescent="0.2">
      <c r="A5" s="278" t="s">
        <v>139</v>
      </c>
      <c r="B5" s="296"/>
      <c r="C5" s="296"/>
      <c r="D5" s="296"/>
      <c r="E5" s="296"/>
      <c r="F5" s="296"/>
      <c r="G5" s="296"/>
    </row>
    <row r="6" spans="1:25" ht="41.25" customHeight="1" x14ac:dyDescent="0.2">
      <c r="A6" s="273" t="s">
        <v>123</v>
      </c>
      <c r="B6" s="273" t="s">
        <v>91</v>
      </c>
      <c r="C6" s="269" t="s">
        <v>63</v>
      </c>
      <c r="D6" s="269" t="s">
        <v>93</v>
      </c>
      <c r="E6" s="25" t="s">
        <v>32</v>
      </c>
      <c r="F6" s="25" t="s">
        <v>69</v>
      </c>
      <c r="G6" s="269" t="s">
        <v>36</v>
      </c>
    </row>
    <row r="7" spans="1:25" ht="41.25" customHeight="1" x14ac:dyDescent="0.2">
      <c r="A7" s="274"/>
      <c r="B7" s="274"/>
      <c r="C7" s="270"/>
      <c r="D7" s="270"/>
      <c r="E7" s="49" t="s">
        <v>94</v>
      </c>
      <c r="F7" s="1" t="s">
        <v>41</v>
      </c>
      <c r="G7" s="270"/>
    </row>
    <row r="8" spans="1:25" x14ac:dyDescent="0.2">
      <c r="A8" s="47"/>
      <c r="B8" s="47"/>
      <c r="C8" s="13">
        <v>0</v>
      </c>
      <c r="D8" s="39">
        <v>0</v>
      </c>
      <c r="E8" s="39">
        <v>0</v>
      </c>
      <c r="F8" s="39">
        <v>0</v>
      </c>
      <c r="G8" s="39">
        <f t="shared" ref="G8:G15" si="0">SUM(E8:F8)</f>
        <v>0</v>
      </c>
      <c r="H8" s="51"/>
      <c r="I8" s="51"/>
      <c r="J8" s="51"/>
      <c r="K8" s="51"/>
      <c r="L8" s="51"/>
      <c r="M8" s="51"/>
      <c r="N8" s="51"/>
      <c r="O8" s="51"/>
      <c r="P8" s="51"/>
      <c r="Q8" s="51"/>
      <c r="R8" s="51"/>
      <c r="S8" s="51"/>
      <c r="T8" s="51"/>
      <c r="U8" s="51"/>
      <c r="V8" s="51"/>
      <c r="W8" s="51"/>
      <c r="X8" s="51"/>
      <c r="Y8" s="51"/>
    </row>
    <row r="9" spans="1:25" x14ac:dyDescent="0.2">
      <c r="A9" s="47"/>
      <c r="B9" s="47"/>
      <c r="C9" s="13">
        <v>0</v>
      </c>
      <c r="D9" s="39">
        <v>0</v>
      </c>
      <c r="E9" s="39">
        <v>0</v>
      </c>
      <c r="F9" s="39">
        <v>0</v>
      </c>
      <c r="G9" s="39">
        <f t="shared" si="0"/>
        <v>0</v>
      </c>
      <c r="H9" s="51"/>
      <c r="I9" s="51"/>
      <c r="J9" s="51"/>
      <c r="K9" s="51"/>
      <c r="L9" s="51"/>
      <c r="M9" s="51"/>
      <c r="N9" s="51"/>
      <c r="O9" s="51"/>
      <c r="P9" s="51"/>
      <c r="Q9" s="51"/>
      <c r="R9" s="51"/>
      <c r="S9" s="51"/>
      <c r="T9" s="51"/>
      <c r="U9" s="51"/>
      <c r="V9" s="51"/>
      <c r="W9" s="51"/>
      <c r="X9" s="51"/>
      <c r="Y9" s="51"/>
    </row>
    <row r="10" spans="1:25" x14ac:dyDescent="0.2">
      <c r="A10" s="47"/>
      <c r="B10" s="47"/>
      <c r="C10" s="13">
        <v>0</v>
      </c>
      <c r="D10" s="39">
        <v>0</v>
      </c>
      <c r="E10" s="39">
        <v>0</v>
      </c>
      <c r="F10" s="39">
        <v>0</v>
      </c>
      <c r="G10" s="39">
        <f t="shared" si="0"/>
        <v>0</v>
      </c>
      <c r="H10" s="51"/>
      <c r="I10" s="51"/>
      <c r="J10" s="51"/>
      <c r="K10" s="51"/>
      <c r="L10" s="51"/>
      <c r="M10" s="51"/>
      <c r="N10" s="51"/>
      <c r="O10" s="51"/>
      <c r="P10" s="51"/>
      <c r="Q10" s="51"/>
      <c r="R10" s="51"/>
      <c r="S10" s="51"/>
      <c r="T10" s="51"/>
      <c r="U10" s="51"/>
      <c r="V10" s="51"/>
      <c r="W10" s="51"/>
      <c r="X10" s="51"/>
      <c r="Y10" s="51"/>
    </row>
    <row r="11" spans="1:25" x14ac:dyDescent="0.2">
      <c r="A11" s="47"/>
      <c r="B11" s="47"/>
      <c r="C11" s="13">
        <v>0</v>
      </c>
      <c r="D11" s="39">
        <v>0</v>
      </c>
      <c r="E11" s="39">
        <v>0</v>
      </c>
      <c r="F11" s="39">
        <v>0</v>
      </c>
      <c r="G11" s="39">
        <f t="shared" si="0"/>
        <v>0</v>
      </c>
      <c r="H11" s="51"/>
      <c r="I11" s="63"/>
      <c r="J11" s="63"/>
      <c r="K11" s="63"/>
      <c r="L11" s="63"/>
      <c r="M11" s="63"/>
      <c r="N11" s="63"/>
      <c r="O11" s="63"/>
      <c r="P11" s="63"/>
      <c r="Q11" s="63"/>
      <c r="R11" s="63"/>
      <c r="S11" s="63"/>
      <c r="T11" s="63"/>
      <c r="U11" s="63"/>
      <c r="V11" s="63"/>
      <c r="W11" s="63"/>
      <c r="X11" s="63"/>
      <c r="Y11" s="63"/>
    </row>
    <row r="12" spans="1:25" x14ac:dyDescent="0.2">
      <c r="A12" s="47"/>
      <c r="B12" s="47"/>
      <c r="C12" s="13">
        <v>0</v>
      </c>
      <c r="D12" s="39">
        <v>0</v>
      </c>
      <c r="E12" s="39">
        <v>0</v>
      </c>
      <c r="F12" s="39">
        <v>0</v>
      </c>
      <c r="G12" s="39">
        <f t="shared" si="0"/>
        <v>0</v>
      </c>
      <c r="H12" s="51"/>
      <c r="I12" s="63"/>
      <c r="J12" s="63"/>
      <c r="K12" s="63"/>
      <c r="L12" s="63"/>
      <c r="M12" s="63"/>
      <c r="N12" s="63"/>
      <c r="O12" s="63"/>
      <c r="P12" s="63"/>
      <c r="Q12" s="63"/>
      <c r="R12" s="63"/>
      <c r="S12" s="63"/>
      <c r="T12" s="63"/>
      <c r="U12" s="63"/>
      <c r="V12" s="63"/>
      <c r="W12" s="63"/>
      <c r="X12" s="63"/>
      <c r="Y12" s="63"/>
    </row>
    <row r="13" spans="1:25" x14ac:dyDescent="0.2">
      <c r="A13" s="47"/>
      <c r="B13" s="47"/>
      <c r="C13" s="13">
        <v>0</v>
      </c>
      <c r="D13" s="39">
        <v>0</v>
      </c>
      <c r="E13" s="39">
        <v>0</v>
      </c>
      <c r="F13" s="39">
        <v>0</v>
      </c>
      <c r="G13" s="39">
        <f t="shared" si="0"/>
        <v>0</v>
      </c>
      <c r="H13" s="51"/>
      <c r="I13" s="63"/>
      <c r="J13" s="63"/>
      <c r="K13" s="63"/>
      <c r="L13" s="63"/>
      <c r="M13" s="63"/>
      <c r="N13" s="63"/>
      <c r="O13" s="63"/>
      <c r="P13" s="63"/>
      <c r="Q13" s="63"/>
      <c r="R13" s="63"/>
      <c r="S13" s="63"/>
      <c r="T13" s="63"/>
      <c r="U13" s="63"/>
      <c r="V13" s="63"/>
      <c r="W13" s="63"/>
      <c r="X13" s="63"/>
      <c r="Y13" s="63"/>
    </row>
    <row r="14" spans="1:25" x14ac:dyDescent="0.2">
      <c r="A14" s="47"/>
      <c r="B14" s="47"/>
      <c r="C14" s="13">
        <v>0</v>
      </c>
      <c r="D14" s="39">
        <v>0</v>
      </c>
      <c r="E14" s="39">
        <v>0</v>
      </c>
      <c r="F14" s="39">
        <v>0</v>
      </c>
      <c r="G14" s="39">
        <f t="shared" si="0"/>
        <v>0</v>
      </c>
      <c r="H14" s="51"/>
      <c r="I14" s="63"/>
      <c r="J14" s="63"/>
      <c r="K14" s="63"/>
      <c r="L14" s="63"/>
      <c r="M14" s="63"/>
      <c r="N14" s="63"/>
      <c r="O14" s="63"/>
      <c r="P14" s="63"/>
      <c r="Q14" s="63"/>
      <c r="R14" s="63"/>
      <c r="S14" s="63"/>
      <c r="T14" s="63"/>
      <c r="U14" s="63"/>
      <c r="V14" s="63"/>
      <c r="W14" s="63"/>
      <c r="X14" s="63"/>
      <c r="Y14" s="63"/>
    </row>
    <row r="15" spans="1:25" x14ac:dyDescent="0.2">
      <c r="A15" s="47"/>
      <c r="B15" s="47"/>
      <c r="C15" s="13">
        <v>0</v>
      </c>
      <c r="D15" s="39">
        <v>0</v>
      </c>
      <c r="E15" s="39">
        <v>0</v>
      </c>
      <c r="F15" s="39">
        <v>0</v>
      </c>
      <c r="G15" s="39">
        <f t="shared" si="0"/>
        <v>0</v>
      </c>
      <c r="H15" s="51"/>
      <c r="I15" s="63"/>
      <c r="J15" s="63"/>
      <c r="K15" s="63"/>
      <c r="L15" s="63"/>
      <c r="M15" s="63"/>
      <c r="N15" s="63"/>
      <c r="O15" s="63"/>
      <c r="P15" s="63"/>
      <c r="Q15" s="63"/>
      <c r="R15" s="63"/>
      <c r="S15" s="63"/>
      <c r="T15" s="63"/>
      <c r="U15" s="63"/>
      <c r="V15" s="63"/>
      <c r="W15" s="63"/>
      <c r="X15" s="63"/>
      <c r="Y15" s="63"/>
    </row>
    <row r="16" spans="1:25" x14ac:dyDescent="0.2">
      <c r="A16" s="288" t="s">
        <v>124</v>
      </c>
      <c r="B16" s="289"/>
      <c r="C16" s="289"/>
      <c r="D16" s="290"/>
      <c r="E16" s="206">
        <f t="shared" ref="E16:G16" si="1">SUM(E8:E15)</f>
        <v>0</v>
      </c>
      <c r="F16" s="206">
        <f t="shared" si="1"/>
        <v>0</v>
      </c>
      <c r="G16" s="206">
        <v>0</v>
      </c>
      <c r="H16" s="51"/>
      <c r="I16" s="63"/>
      <c r="J16" s="63"/>
      <c r="K16" s="63"/>
      <c r="L16" s="63"/>
      <c r="M16" s="63"/>
      <c r="N16" s="63"/>
      <c r="O16" s="63"/>
      <c r="P16" s="63"/>
      <c r="Q16" s="63"/>
      <c r="R16" s="63"/>
      <c r="S16" s="63"/>
      <c r="T16" s="63"/>
      <c r="U16" s="63"/>
      <c r="V16" s="63"/>
      <c r="W16" s="63"/>
      <c r="X16" s="63"/>
      <c r="Y16" s="63"/>
    </row>
    <row r="17" spans="1:25" x14ac:dyDescent="0.2">
      <c r="A17" s="52"/>
      <c r="B17" s="52"/>
      <c r="C17" s="52"/>
      <c r="D17" s="52"/>
      <c r="E17" s="51"/>
      <c r="F17" s="51"/>
      <c r="G17" s="51"/>
      <c r="H17" s="51"/>
      <c r="I17" s="63"/>
      <c r="J17" s="63"/>
      <c r="K17" s="63"/>
      <c r="L17" s="63"/>
      <c r="M17" s="63"/>
      <c r="N17" s="63"/>
      <c r="O17" s="63"/>
      <c r="P17" s="63"/>
      <c r="Q17" s="63"/>
      <c r="R17" s="63"/>
      <c r="S17" s="63"/>
      <c r="T17" s="63"/>
      <c r="U17" s="63"/>
      <c r="V17" s="63"/>
      <c r="W17" s="63"/>
      <c r="X17" s="63"/>
      <c r="Y17" s="63"/>
    </row>
    <row r="18" spans="1:25" x14ac:dyDescent="0.2">
      <c r="A18" s="52"/>
      <c r="B18" s="52"/>
      <c r="C18" s="52"/>
      <c r="D18" s="52"/>
      <c r="E18" s="52"/>
      <c r="F18" s="52"/>
      <c r="G18" s="52"/>
      <c r="H18" s="51"/>
      <c r="I18" s="63"/>
      <c r="J18" s="63"/>
      <c r="K18" s="63"/>
      <c r="L18" s="63"/>
      <c r="M18" s="63"/>
      <c r="N18" s="63"/>
      <c r="O18" s="63"/>
      <c r="P18" s="63"/>
      <c r="Q18" s="63"/>
      <c r="R18" s="63"/>
      <c r="S18" s="63"/>
      <c r="T18" s="63"/>
      <c r="U18" s="63"/>
      <c r="V18" s="63"/>
      <c r="W18" s="63"/>
      <c r="X18" s="63"/>
      <c r="Y18" s="63"/>
    </row>
    <row r="19" spans="1:25" x14ac:dyDescent="0.2">
      <c r="A19" s="74"/>
      <c r="B19" s="51"/>
      <c r="C19" s="51"/>
      <c r="D19" s="51"/>
      <c r="E19" s="51"/>
      <c r="F19" s="51"/>
      <c r="G19" s="51"/>
      <c r="H19" s="51"/>
      <c r="I19" s="63"/>
      <c r="J19" s="63"/>
      <c r="K19" s="63"/>
      <c r="L19" s="63"/>
      <c r="M19" s="63"/>
      <c r="N19" s="63"/>
      <c r="O19" s="63"/>
      <c r="P19" s="63"/>
      <c r="Q19" s="63"/>
      <c r="R19" s="63"/>
      <c r="S19" s="63"/>
      <c r="T19" s="63"/>
      <c r="U19" s="63"/>
      <c r="V19" s="63"/>
      <c r="W19" s="63"/>
      <c r="X19" s="63"/>
      <c r="Y19" s="63"/>
    </row>
    <row r="20" spans="1:25" x14ac:dyDescent="0.2">
      <c r="A20" s="63"/>
      <c r="B20" s="51"/>
      <c r="C20" s="51"/>
      <c r="D20" s="51"/>
      <c r="E20" s="51"/>
      <c r="F20" s="51"/>
      <c r="G20" s="51"/>
      <c r="H20" s="51"/>
      <c r="I20" s="63"/>
      <c r="J20" s="63"/>
      <c r="K20" s="63"/>
      <c r="L20" s="63"/>
      <c r="M20" s="63"/>
      <c r="N20" s="63"/>
      <c r="O20" s="63"/>
      <c r="P20" s="63"/>
      <c r="Q20" s="63"/>
      <c r="R20" s="63"/>
      <c r="S20" s="63"/>
      <c r="T20" s="63"/>
      <c r="U20" s="63"/>
      <c r="V20" s="63"/>
      <c r="W20" s="63"/>
      <c r="X20" s="63"/>
      <c r="Y20" s="63"/>
    </row>
    <row r="21" spans="1:25" x14ac:dyDescent="0.2">
      <c r="A21" s="63"/>
      <c r="B21" s="51"/>
      <c r="C21" s="51"/>
      <c r="D21" s="51"/>
      <c r="E21" s="51"/>
      <c r="F21" s="51"/>
      <c r="G21" s="51"/>
      <c r="H21" s="51"/>
      <c r="I21" s="63"/>
      <c r="J21" s="63"/>
      <c r="K21" s="63"/>
      <c r="L21" s="63"/>
      <c r="M21" s="63"/>
      <c r="N21" s="63"/>
      <c r="O21" s="63"/>
      <c r="P21" s="63"/>
      <c r="Q21" s="63"/>
      <c r="R21" s="63"/>
      <c r="S21" s="63"/>
      <c r="T21" s="63"/>
      <c r="U21" s="63"/>
      <c r="V21" s="63"/>
      <c r="W21" s="63"/>
      <c r="X21" s="63"/>
      <c r="Y21" s="63"/>
    </row>
    <row r="22" spans="1:25" x14ac:dyDescent="0.2">
      <c r="A22" s="63"/>
      <c r="B22" s="63"/>
      <c r="C22" s="63"/>
      <c r="D22" s="63"/>
      <c r="E22" s="63"/>
      <c r="F22" s="63"/>
      <c r="G22" s="63"/>
      <c r="H22" s="63"/>
      <c r="I22" s="63"/>
      <c r="J22" s="63"/>
      <c r="K22" s="63"/>
      <c r="L22" s="63"/>
      <c r="M22" s="63"/>
      <c r="N22" s="63"/>
      <c r="O22" s="63"/>
      <c r="P22" s="63"/>
      <c r="Q22" s="63"/>
      <c r="R22" s="63"/>
      <c r="S22" s="63"/>
      <c r="T22" s="63"/>
      <c r="U22" s="63"/>
      <c r="V22" s="63"/>
      <c r="W22" s="63"/>
      <c r="X22" s="63"/>
      <c r="Y22" s="63"/>
    </row>
    <row r="23" spans="1:25" x14ac:dyDescent="0.2">
      <c r="A23" s="63"/>
      <c r="B23" s="63"/>
      <c r="C23" s="63"/>
      <c r="D23" s="63"/>
      <c r="E23" s="63"/>
      <c r="F23" s="63"/>
      <c r="G23" s="63"/>
      <c r="H23" s="63"/>
      <c r="I23" s="63"/>
      <c r="J23" s="63"/>
      <c r="K23" s="63"/>
      <c r="L23" s="63"/>
      <c r="M23" s="63"/>
      <c r="N23" s="63"/>
      <c r="O23" s="63"/>
      <c r="P23" s="63"/>
      <c r="Q23" s="63"/>
      <c r="R23" s="63"/>
      <c r="S23" s="63"/>
      <c r="T23" s="63"/>
      <c r="U23" s="63"/>
      <c r="V23" s="63"/>
      <c r="W23" s="63"/>
      <c r="X23" s="63"/>
      <c r="Y23" s="63"/>
    </row>
    <row r="24" spans="1:25" x14ac:dyDescent="0.2">
      <c r="A24" s="63"/>
      <c r="B24" s="63"/>
      <c r="C24" s="63"/>
      <c r="D24" s="63"/>
      <c r="E24" s="63"/>
      <c r="F24" s="63"/>
      <c r="G24" s="63"/>
      <c r="H24" s="63"/>
      <c r="I24" s="63"/>
      <c r="J24" s="63"/>
      <c r="K24" s="63"/>
      <c r="L24" s="63"/>
      <c r="M24" s="63"/>
      <c r="N24" s="63"/>
      <c r="O24" s="63"/>
      <c r="P24" s="63"/>
      <c r="Q24" s="63"/>
      <c r="R24" s="63"/>
      <c r="S24" s="63"/>
      <c r="T24" s="63"/>
      <c r="U24" s="63"/>
      <c r="V24" s="63"/>
      <c r="W24" s="63"/>
      <c r="X24" s="63"/>
      <c r="Y24" s="63"/>
    </row>
    <row r="25" spans="1:25" x14ac:dyDescent="0.2">
      <c r="A25" s="63"/>
      <c r="B25" s="63"/>
      <c r="C25" s="63"/>
      <c r="D25" s="63"/>
      <c r="E25" s="63"/>
      <c r="F25" s="63"/>
      <c r="G25" s="63"/>
      <c r="H25" s="63"/>
      <c r="I25" s="63"/>
      <c r="J25" s="63"/>
      <c r="K25" s="63"/>
      <c r="L25" s="63"/>
      <c r="M25" s="63"/>
      <c r="N25" s="63"/>
      <c r="O25" s="63"/>
      <c r="P25" s="63"/>
      <c r="Q25" s="63"/>
      <c r="R25" s="63"/>
      <c r="S25" s="63"/>
      <c r="T25" s="63"/>
      <c r="U25" s="63"/>
      <c r="V25" s="63"/>
      <c r="W25" s="63"/>
      <c r="X25" s="63"/>
      <c r="Y25" s="63"/>
    </row>
    <row r="26" spans="1:25" x14ac:dyDescent="0.2">
      <c r="A26" s="63"/>
      <c r="B26" s="63"/>
      <c r="C26" s="63"/>
      <c r="D26" s="63"/>
      <c r="E26" s="63"/>
      <c r="F26" s="63"/>
      <c r="G26" s="63"/>
      <c r="H26" s="63"/>
      <c r="I26" s="63"/>
      <c r="J26" s="63"/>
      <c r="K26" s="63"/>
      <c r="L26" s="63"/>
      <c r="M26" s="63"/>
      <c r="N26" s="63"/>
      <c r="O26" s="63"/>
      <c r="P26" s="63"/>
      <c r="Q26" s="63"/>
      <c r="R26" s="63"/>
      <c r="S26" s="63"/>
      <c r="T26" s="63"/>
      <c r="U26" s="63"/>
      <c r="V26" s="63"/>
      <c r="W26" s="63"/>
      <c r="X26" s="63"/>
      <c r="Y26" s="63"/>
    </row>
    <row r="27" spans="1:25" x14ac:dyDescent="0.2">
      <c r="A27" s="63"/>
      <c r="B27" s="63"/>
      <c r="C27" s="63"/>
      <c r="D27" s="63"/>
      <c r="E27" s="63"/>
      <c r="F27" s="63"/>
      <c r="G27" s="63"/>
      <c r="H27" s="63"/>
      <c r="I27" s="63"/>
      <c r="J27" s="63"/>
      <c r="K27" s="63"/>
      <c r="L27" s="63"/>
      <c r="M27" s="63"/>
      <c r="N27" s="63"/>
      <c r="O27" s="63"/>
      <c r="P27" s="63"/>
      <c r="Q27" s="63"/>
      <c r="R27" s="63"/>
      <c r="S27" s="63"/>
      <c r="T27" s="63"/>
      <c r="U27" s="63"/>
      <c r="V27" s="63"/>
      <c r="W27" s="63"/>
      <c r="X27" s="63"/>
      <c r="Y27" s="63"/>
    </row>
    <row r="28" spans="1:25" x14ac:dyDescent="0.2">
      <c r="A28" s="63"/>
      <c r="B28" s="63"/>
      <c r="C28" s="63"/>
      <c r="D28" s="63"/>
      <c r="E28" s="63"/>
      <c r="F28" s="63"/>
      <c r="G28" s="63"/>
      <c r="H28" s="63"/>
      <c r="I28" s="63"/>
      <c r="J28" s="63"/>
      <c r="K28" s="63"/>
      <c r="L28" s="63"/>
      <c r="M28" s="63"/>
      <c r="N28" s="63"/>
      <c r="O28" s="63"/>
      <c r="P28" s="63"/>
      <c r="Q28" s="63"/>
      <c r="R28" s="63"/>
      <c r="S28" s="63"/>
      <c r="T28" s="63"/>
      <c r="U28" s="63"/>
      <c r="V28" s="63"/>
      <c r="W28" s="63"/>
      <c r="X28" s="63"/>
      <c r="Y28" s="63"/>
    </row>
    <row r="29" spans="1:25" x14ac:dyDescent="0.2">
      <c r="A29" s="63"/>
      <c r="B29" s="63"/>
      <c r="C29" s="63"/>
      <c r="D29" s="63"/>
      <c r="E29" s="63"/>
      <c r="F29" s="63"/>
      <c r="G29" s="63"/>
      <c r="H29" s="63"/>
      <c r="I29" s="63"/>
      <c r="J29" s="63"/>
      <c r="K29" s="63"/>
      <c r="L29" s="63"/>
      <c r="M29" s="63"/>
      <c r="N29" s="63"/>
      <c r="O29" s="63"/>
      <c r="P29" s="63"/>
      <c r="Q29" s="63"/>
      <c r="R29" s="63"/>
      <c r="S29" s="63"/>
      <c r="T29" s="63"/>
      <c r="U29" s="63"/>
      <c r="V29" s="63"/>
      <c r="W29" s="63"/>
      <c r="X29" s="63"/>
      <c r="Y29" s="63"/>
    </row>
    <row r="30" spans="1:25" x14ac:dyDescent="0.2">
      <c r="A30" s="63"/>
      <c r="B30" s="63"/>
      <c r="C30" s="63"/>
      <c r="D30" s="63"/>
      <c r="E30" s="63"/>
      <c r="F30" s="63"/>
      <c r="G30" s="63"/>
      <c r="H30" s="63"/>
      <c r="I30" s="63"/>
      <c r="J30" s="63"/>
      <c r="K30" s="63"/>
      <c r="L30" s="63"/>
      <c r="M30" s="63"/>
      <c r="N30" s="63"/>
      <c r="O30" s="63"/>
      <c r="P30" s="63"/>
      <c r="Q30" s="63"/>
      <c r="R30" s="63"/>
      <c r="S30" s="63"/>
      <c r="T30" s="63"/>
      <c r="U30" s="63"/>
      <c r="V30" s="63"/>
      <c r="W30" s="63"/>
      <c r="X30" s="63"/>
      <c r="Y30" s="63"/>
    </row>
    <row r="31" spans="1:25" x14ac:dyDescent="0.2">
      <c r="A31" s="63"/>
      <c r="B31" s="63"/>
      <c r="C31" s="63"/>
      <c r="D31" s="63"/>
      <c r="E31" s="63"/>
      <c r="F31" s="63"/>
      <c r="G31" s="63"/>
      <c r="H31" s="63"/>
      <c r="I31" s="63"/>
      <c r="J31" s="63"/>
      <c r="K31" s="63"/>
      <c r="L31" s="63"/>
      <c r="M31" s="63"/>
      <c r="N31" s="63"/>
      <c r="O31" s="63"/>
      <c r="P31" s="63"/>
      <c r="Q31" s="63"/>
      <c r="R31" s="63"/>
      <c r="S31" s="63"/>
      <c r="T31" s="63"/>
      <c r="U31" s="63"/>
      <c r="V31" s="63"/>
      <c r="W31" s="63"/>
      <c r="X31" s="63"/>
      <c r="Y31" s="63"/>
    </row>
    <row r="32" spans="1:25" x14ac:dyDescent="0.2">
      <c r="A32" s="63"/>
      <c r="B32" s="63"/>
      <c r="C32" s="63"/>
      <c r="D32" s="63"/>
      <c r="E32" s="63"/>
      <c r="F32" s="63"/>
      <c r="G32" s="63"/>
      <c r="H32" s="63"/>
      <c r="I32" s="63"/>
      <c r="J32" s="63"/>
      <c r="K32" s="63"/>
      <c r="L32" s="63"/>
      <c r="M32" s="63"/>
      <c r="N32" s="63"/>
      <c r="O32" s="63"/>
      <c r="P32" s="63"/>
      <c r="Q32" s="63"/>
      <c r="R32" s="63"/>
      <c r="S32" s="63"/>
      <c r="T32" s="63"/>
      <c r="U32" s="63"/>
      <c r="V32" s="63"/>
      <c r="W32" s="63"/>
      <c r="X32" s="63"/>
      <c r="Y32" s="63"/>
    </row>
    <row r="33" spans="1:25" x14ac:dyDescent="0.2">
      <c r="A33" s="63"/>
      <c r="B33" s="63"/>
      <c r="C33" s="63"/>
      <c r="D33" s="63"/>
      <c r="E33" s="63"/>
      <c r="F33" s="63"/>
      <c r="G33" s="63"/>
      <c r="H33" s="63"/>
      <c r="I33" s="63"/>
      <c r="J33" s="63"/>
      <c r="K33" s="63"/>
      <c r="L33" s="63"/>
      <c r="M33" s="63"/>
      <c r="N33" s="63"/>
      <c r="O33" s="63"/>
      <c r="P33" s="63"/>
      <c r="Q33" s="63"/>
      <c r="R33" s="63"/>
      <c r="S33" s="63"/>
      <c r="T33" s="63"/>
      <c r="U33" s="63"/>
      <c r="V33" s="63"/>
      <c r="W33" s="63"/>
      <c r="X33" s="63"/>
      <c r="Y33" s="63"/>
    </row>
    <row r="34" spans="1:25" x14ac:dyDescent="0.2">
      <c r="A34" s="63"/>
      <c r="B34" s="63"/>
      <c r="C34" s="63"/>
      <c r="D34" s="63"/>
      <c r="E34" s="63"/>
      <c r="F34" s="63"/>
      <c r="G34" s="63"/>
      <c r="H34" s="63"/>
      <c r="I34" s="63"/>
      <c r="J34" s="63"/>
      <c r="K34" s="63"/>
      <c r="L34" s="63"/>
      <c r="M34" s="63"/>
      <c r="N34" s="63"/>
      <c r="O34" s="63"/>
      <c r="P34" s="63"/>
      <c r="Q34" s="63"/>
      <c r="R34" s="63"/>
      <c r="S34" s="63"/>
      <c r="T34" s="63"/>
      <c r="U34" s="63"/>
      <c r="V34" s="63"/>
      <c r="W34" s="63"/>
      <c r="X34" s="63"/>
      <c r="Y34" s="63"/>
    </row>
    <row r="35" spans="1:25" x14ac:dyDescent="0.2">
      <c r="A35" s="63"/>
      <c r="B35" s="63"/>
      <c r="C35" s="63"/>
      <c r="D35" s="63"/>
      <c r="E35" s="63"/>
      <c r="F35" s="63"/>
      <c r="G35" s="63"/>
      <c r="H35" s="63"/>
      <c r="I35" s="63"/>
      <c r="J35" s="63"/>
      <c r="K35" s="63"/>
      <c r="L35" s="63"/>
      <c r="M35" s="63"/>
      <c r="N35" s="63"/>
      <c r="O35" s="63"/>
      <c r="P35" s="63"/>
      <c r="Q35" s="63"/>
      <c r="R35" s="63"/>
      <c r="S35" s="63"/>
      <c r="T35" s="63"/>
      <c r="U35" s="63"/>
      <c r="V35" s="63"/>
      <c r="W35" s="63"/>
      <c r="X35" s="63"/>
      <c r="Y35" s="63"/>
    </row>
    <row r="36" spans="1:25" x14ac:dyDescent="0.2">
      <c r="A36" s="63"/>
      <c r="B36" s="63"/>
      <c r="C36" s="63"/>
      <c r="D36" s="63"/>
      <c r="E36" s="63"/>
      <c r="F36" s="63"/>
      <c r="G36" s="63"/>
      <c r="H36" s="63"/>
      <c r="I36" s="63"/>
      <c r="J36" s="63"/>
      <c r="K36" s="63"/>
      <c r="L36" s="63"/>
      <c r="M36" s="63"/>
      <c r="N36" s="63"/>
      <c r="O36" s="63"/>
      <c r="P36" s="63"/>
      <c r="Q36" s="63"/>
      <c r="R36" s="63"/>
      <c r="S36" s="63"/>
      <c r="T36" s="63"/>
      <c r="U36" s="63"/>
      <c r="V36" s="63"/>
      <c r="W36" s="63"/>
      <c r="X36" s="63"/>
      <c r="Y36" s="63"/>
    </row>
    <row r="37" spans="1:25" x14ac:dyDescent="0.2">
      <c r="A37" s="63"/>
      <c r="B37" s="63"/>
      <c r="C37" s="63"/>
      <c r="D37" s="63"/>
      <c r="E37" s="63"/>
      <c r="F37" s="63"/>
      <c r="G37" s="63"/>
      <c r="H37" s="63"/>
      <c r="I37" s="63"/>
      <c r="J37" s="63"/>
      <c r="K37" s="63"/>
      <c r="L37" s="63"/>
      <c r="M37" s="63"/>
      <c r="N37" s="63"/>
      <c r="O37" s="63"/>
      <c r="P37" s="63"/>
      <c r="Q37" s="63"/>
      <c r="R37" s="63"/>
      <c r="S37" s="63"/>
      <c r="T37" s="63"/>
      <c r="U37" s="63"/>
      <c r="V37" s="63"/>
      <c r="W37" s="63"/>
      <c r="X37" s="63"/>
      <c r="Y37" s="63"/>
    </row>
    <row r="38" spans="1:25" x14ac:dyDescent="0.2">
      <c r="A38" s="63"/>
      <c r="B38" s="63"/>
      <c r="C38" s="63"/>
      <c r="D38" s="63"/>
      <c r="E38" s="63"/>
      <c r="F38" s="63"/>
      <c r="G38" s="63"/>
      <c r="H38" s="63"/>
      <c r="I38" s="63"/>
      <c r="J38" s="63"/>
      <c r="K38" s="63"/>
      <c r="L38" s="63"/>
      <c r="M38" s="63"/>
      <c r="N38" s="63"/>
      <c r="O38" s="63"/>
      <c r="P38" s="63"/>
      <c r="Q38" s="63"/>
      <c r="R38" s="63"/>
      <c r="S38" s="63"/>
      <c r="T38" s="63"/>
      <c r="U38" s="63"/>
      <c r="V38" s="63"/>
      <c r="W38" s="63"/>
      <c r="X38" s="63"/>
      <c r="Y38" s="63"/>
    </row>
    <row r="39" spans="1:25" x14ac:dyDescent="0.2">
      <c r="A39" s="63"/>
      <c r="B39" s="63"/>
      <c r="C39" s="63"/>
      <c r="D39" s="63"/>
      <c r="E39" s="63"/>
      <c r="F39" s="63"/>
      <c r="G39" s="63"/>
      <c r="H39" s="63"/>
      <c r="I39" s="63"/>
      <c r="J39" s="63"/>
      <c r="K39" s="63"/>
      <c r="L39" s="63"/>
      <c r="M39" s="63"/>
      <c r="N39" s="63"/>
      <c r="O39" s="63"/>
      <c r="P39" s="63"/>
      <c r="Q39" s="63"/>
      <c r="R39" s="63"/>
      <c r="S39" s="63"/>
      <c r="T39" s="63"/>
      <c r="U39" s="63"/>
      <c r="V39" s="63"/>
      <c r="W39" s="63"/>
      <c r="X39" s="63"/>
      <c r="Y39" s="63"/>
    </row>
    <row r="40" spans="1:25" x14ac:dyDescent="0.2">
      <c r="A40" s="63"/>
      <c r="B40" s="63"/>
      <c r="C40" s="63"/>
      <c r="D40" s="63"/>
      <c r="E40" s="63"/>
      <c r="F40" s="63"/>
      <c r="G40" s="63"/>
      <c r="H40" s="63"/>
      <c r="I40" s="63"/>
      <c r="J40" s="63"/>
      <c r="K40" s="63"/>
      <c r="L40" s="63"/>
      <c r="M40" s="63"/>
      <c r="N40" s="63"/>
      <c r="O40" s="63"/>
      <c r="P40" s="63"/>
      <c r="Q40" s="63"/>
      <c r="R40" s="63"/>
      <c r="S40" s="63"/>
      <c r="T40" s="63"/>
      <c r="U40" s="63"/>
      <c r="V40" s="63"/>
      <c r="W40" s="63"/>
      <c r="X40" s="63"/>
      <c r="Y40" s="63"/>
    </row>
    <row r="41" spans="1:25" x14ac:dyDescent="0.2">
      <c r="A41" s="63"/>
      <c r="B41" s="63"/>
      <c r="C41" s="63"/>
      <c r="D41" s="63"/>
      <c r="E41" s="63"/>
      <c r="F41" s="63"/>
      <c r="G41" s="63"/>
      <c r="H41" s="63"/>
      <c r="I41" s="63"/>
      <c r="J41" s="63"/>
      <c r="K41" s="63"/>
      <c r="L41" s="63"/>
      <c r="M41" s="63"/>
      <c r="N41" s="63"/>
      <c r="O41" s="63"/>
      <c r="P41" s="63"/>
      <c r="Q41" s="63"/>
      <c r="R41" s="63"/>
      <c r="S41" s="63"/>
      <c r="T41" s="63"/>
      <c r="U41" s="63"/>
      <c r="V41" s="63"/>
      <c r="W41" s="63"/>
      <c r="X41" s="63"/>
      <c r="Y41" s="63"/>
    </row>
    <row r="42" spans="1:25" x14ac:dyDescent="0.2">
      <c r="A42" s="63"/>
      <c r="B42" s="63"/>
      <c r="C42" s="63"/>
      <c r="D42" s="63"/>
      <c r="E42" s="63"/>
      <c r="F42" s="63"/>
      <c r="G42" s="63"/>
      <c r="H42" s="63"/>
      <c r="I42" s="63"/>
      <c r="J42" s="63"/>
      <c r="K42" s="63"/>
      <c r="L42" s="63"/>
      <c r="M42" s="63"/>
      <c r="N42" s="63"/>
      <c r="O42" s="63"/>
      <c r="P42" s="63"/>
      <c r="Q42" s="63"/>
      <c r="R42" s="63"/>
      <c r="S42" s="63"/>
      <c r="T42" s="63"/>
      <c r="U42" s="63"/>
      <c r="V42" s="63"/>
      <c r="W42" s="63"/>
      <c r="X42" s="63"/>
      <c r="Y42" s="63"/>
    </row>
    <row r="43" spans="1:25" x14ac:dyDescent="0.2">
      <c r="A43" s="63"/>
      <c r="B43" s="63"/>
      <c r="C43" s="63"/>
      <c r="D43" s="63"/>
      <c r="E43" s="63"/>
      <c r="F43" s="63"/>
      <c r="G43" s="63"/>
      <c r="H43" s="63"/>
      <c r="I43" s="63"/>
      <c r="J43" s="63"/>
      <c r="K43" s="63"/>
      <c r="L43" s="63"/>
      <c r="M43" s="63"/>
      <c r="N43" s="63"/>
      <c r="O43" s="63"/>
      <c r="P43" s="63"/>
      <c r="Q43" s="63"/>
      <c r="R43" s="63"/>
      <c r="S43" s="63"/>
      <c r="T43" s="63"/>
      <c r="U43" s="63"/>
      <c r="V43" s="63"/>
      <c r="W43" s="63"/>
      <c r="X43" s="63"/>
      <c r="Y43" s="63"/>
    </row>
    <row r="44" spans="1:25" x14ac:dyDescent="0.2">
      <c r="A44" s="63"/>
      <c r="B44" s="63"/>
      <c r="C44" s="63"/>
      <c r="D44" s="63"/>
      <c r="E44" s="63"/>
      <c r="F44" s="63"/>
      <c r="G44" s="63"/>
      <c r="H44" s="63"/>
      <c r="I44" s="63"/>
      <c r="J44" s="63"/>
      <c r="K44" s="63"/>
      <c r="L44" s="63"/>
      <c r="M44" s="63"/>
      <c r="N44" s="63"/>
      <c r="O44" s="63"/>
      <c r="P44" s="63"/>
      <c r="Q44" s="63"/>
      <c r="R44" s="63"/>
      <c r="S44" s="63"/>
      <c r="T44" s="63"/>
      <c r="U44" s="63"/>
      <c r="V44" s="63"/>
      <c r="W44" s="63"/>
      <c r="X44" s="63"/>
      <c r="Y44" s="63"/>
    </row>
    <row r="45" spans="1:25" x14ac:dyDescent="0.2">
      <c r="A45" s="63"/>
      <c r="B45" s="63"/>
      <c r="C45" s="63"/>
      <c r="D45" s="63"/>
      <c r="E45" s="63"/>
      <c r="F45" s="63"/>
      <c r="G45" s="63"/>
      <c r="H45" s="63"/>
      <c r="I45" s="63"/>
      <c r="J45" s="63"/>
      <c r="K45" s="63"/>
      <c r="L45" s="63"/>
      <c r="M45" s="63"/>
      <c r="N45" s="63"/>
      <c r="O45" s="63"/>
      <c r="P45" s="63"/>
      <c r="Q45" s="63"/>
      <c r="R45" s="63"/>
      <c r="S45" s="63"/>
      <c r="T45" s="63"/>
      <c r="U45" s="63"/>
      <c r="V45" s="63"/>
      <c r="W45" s="63"/>
      <c r="X45" s="63"/>
      <c r="Y45" s="63"/>
    </row>
    <row r="46" spans="1:25" x14ac:dyDescent="0.2">
      <c r="A46" s="63"/>
      <c r="B46" s="63"/>
      <c r="C46" s="63"/>
      <c r="D46" s="63"/>
      <c r="E46" s="63"/>
      <c r="F46" s="63"/>
      <c r="G46" s="63"/>
      <c r="H46" s="63"/>
      <c r="I46" s="63"/>
      <c r="J46" s="63"/>
      <c r="K46" s="63"/>
      <c r="L46" s="63"/>
      <c r="M46" s="63"/>
      <c r="N46" s="63"/>
      <c r="O46" s="63"/>
      <c r="P46" s="63"/>
      <c r="Q46" s="63"/>
      <c r="R46" s="63"/>
      <c r="S46" s="63"/>
      <c r="T46" s="63"/>
      <c r="U46" s="63"/>
      <c r="V46" s="63"/>
      <c r="W46" s="63"/>
      <c r="X46" s="63"/>
      <c r="Y46" s="63"/>
    </row>
    <row r="47" spans="1:25" x14ac:dyDescent="0.2">
      <c r="A47" s="63"/>
      <c r="B47" s="63"/>
      <c r="C47" s="63"/>
      <c r="D47" s="63"/>
      <c r="E47" s="63"/>
      <c r="F47" s="63"/>
      <c r="G47" s="63"/>
      <c r="H47" s="63"/>
      <c r="I47" s="63"/>
      <c r="J47" s="63"/>
      <c r="K47" s="63"/>
      <c r="L47" s="63"/>
      <c r="M47" s="63"/>
      <c r="N47" s="63"/>
      <c r="O47" s="63"/>
      <c r="P47" s="63"/>
      <c r="Q47" s="63"/>
      <c r="R47" s="63"/>
      <c r="S47" s="63"/>
      <c r="T47" s="63"/>
      <c r="U47" s="63"/>
      <c r="V47" s="63"/>
      <c r="W47" s="63"/>
      <c r="X47" s="63"/>
      <c r="Y47" s="63"/>
    </row>
    <row r="48" spans="1:25" x14ac:dyDescent="0.2">
      <c r="A48" s="63"/>
      <c r="B48" s="63"/>
      <c r="C48" s="63"/>
      <c r="D48" s="63"/>
      <c r="E48" s="63"/>
      <c r="F48" s="63"/>
      <c r="G48" s="63"/>
      <c r="H48" s="63"/>
      <c r="I48" s="63"/>
      <c r="J48" s="63"/>
      <c r="K48" s="63"/>
      <c r="L48" s="63"/>
      <c r="M48" s="63"/>
      <c r="N48" s="63"/>
      <c r="O48" s="63"/>
      <c r="P48" s="63"/>
      <c r="Q48" s="63"/>
      <c r="R48" s="63"/>
      <c r="S48" s="63"/>
      <c r="T48" s="63"/>
      <c r="U48" s="63"/>
      <c r="V48" s="63"/>
      <c r="W48" s="63"/>
      <c r="X48" s="63"/>
      <c r="Y48" s="63"/>
    </row>
    <row r="49" spans="1:25" x14ac:dyDescent="0.2">
      <c r="A49" s="63"/>
      <c r="B49" s="63"/>
      <c r="C49" s="63"/>
      <c r="D49" s="63"/>
      <c r="E49" s="63"/>
      <c r="F49" s="63"/>
      <c r="G49" s="63"/>
      <c r="H49" s="63"/>
      <c r="I49" s="63"/>
      <c r="J49" s="63"/>
      <c r="K49" s="63"/>
      <c r="L49" s="63"/>
      <c r="M49" s="63"/>
      <c r="N49" s="63"/>
      <c r="O49" s="63"/>
      <c r="P49" s="63"/>
      <c r="Q49" s="63"/>
      <c r="R49" s="63"/>
      <c r="S49" s="63"/>
      <c r="T49" s="63"/>
      <c r="U49" s="63"/>
      <c r="V49" s="63"/>
      <c r="W49" s="63"/>
      <c r="X49" s="63"/>
      <c r="Y49" s="63"/>
    </row>
    <row r="50" spans="1:25" x14ac:dyDescent="0.2">
      <c r="A50" s="63"/>
      <c r="B50" s="63"/>
      <c r="C50" s="63"/>
      <c r="D50" s="63"/>
      <c r="E50" s="63"/>
      <c r="F50" s="63"/>
      <c r="G50" s="63"/>
      <c r="H50" s="63"/>
      <c r="I50" s="63"/>
      <c r="J50" s="63"/>
      <c r="K50" s="63"/>
      <c r="L50" s="63"/>
      <c r="M50" s="63"/>
      <c r="N50" s="63"/>
      <c r="O50" s="63"/>
      <c r="P50" s="63"/>
      <c r="Q50" s="63"/>
      <c r="R50" s="63"/>
      <c r="S50" s="63"/>
      <c r="T50" s="63"/>
      <c r="U50" s="63"/>
      <c r="V50" s="63"/>
      <c r="W50" s="63"/>
      <c r="X50" s="63"/>
      <c r="Y50" s="63"/>
    </row>
    <row r="51" spans="1:25" x14ac:dyDescent="0.2">
      <c r="A51" s="63"/>
      <c r="B51" s="63"/>
      <c r="C51" s="63"/>
      <c r="D51" s="63"/>
      <c r="E51" s="63"/>
      <c r="F51" s="63"/>
      <c r="G51" s="63"/>
      <c r="H51" s="63"/>
      <c r="I51" s="63"/>
      <c r="J51" s="63"/>
      <c r="K51" s="63"/>
      <c r="L51" s="63"/>
      <c r="M51" s="63"/>
      <c r="N51" s="63"/>
      <c r="O51" s="63"/>
      <c r="P51" s="63"/>
      <c r="Q51" s="63"/>
      <c r="R51" s="63"/>
      <c r="S51" s="63"/>
      <c r="T51" s="63"/>
      <c r="U51" s="63"/>
      <c r="V51" s="63"/>
      <c r="W51" s="63"/>
      <c r="X51" s="63"/>
      <c r="Y51" s="63"/>
    </row>
    <row r="52" spans="1:25" x14ac:dyDescent="0.2">
      <c r="A52" s="63"/>
      <c r="B52" s="63"/>
      <c r="C52" s="63"/>
      <c r="D52" s="63"/>
      <c r="E52" s="63"/>
      <c r="F52" s="63"/>
      <c r="G52" s="63"/>
      <c r="H52" s="63"/>
      <c r="I52" s="63"/>
      <c r="J52" s="63"/>
      <c r="K52" s="63"/>
      <c r="L52" s="63"/>
      <c r="M52" s="63"/>
      <c r="N52" s="63"/>
      <c r="O52" s="63"/>
      <c r="P52" s="63"/>
      <c r="Q52" s="63"/>
      <c r="R52" s="63"/>
      <c r="S52" s="63"/>
      <c r="T52" s="63"/>
      <c r="U52" s="63"/>
      <c r="V52" s="63"/>
      <c r="W52" s="63"/>
      <c r="X52" s="63"/>
      <c r="Y52" s="63"/>
    </row>
    <row r="53" spans="1:25" x14ac:dyDescent="0.2">
      <c r="A53" s="63"/>
      <c r="B53" s="63"/>
      <c r="C53" s="63"/>
      <c r="D53" s="63"/>
      <c r="E53" s="63"/>
      <c r="F53" s="63"/>
      <c r="G53" s="63"/>
      <c r="H53" s="63"/>
      <c r="I53" s="63"/>
      <c r="J53" s="63"/>
      <c r="K53" s="63"/>
      <c r="L53" s="63"/>
      <c r="M53" s="63"/>
      <c r="N53" s="63"/>
      <c r="O53" s="63"/>
      <c r="P53" s="63"/>
      <c r="Q53" s="63"/>
      <c r="R53" s="63"/>
      <c r="S53" s="63"/>
      <c r="T53" s="63"/>
      <c r="U53" s="63"/>
      <c r="V53" s="63"/>
      <c r="W53" s="63"/>
      <c r="X53" s="63"/>
      <c r="Y53" s="63"/>
    </row>
    <row r="54" spans="1:25" x14ac:dyDescent="0.2">
      <c r="A54" s="63"/>
      <c r="B54" s="63"/>
      <c r="C54" s="63"/>
      <c r="D54" s="63"/>
      <c r="E54" s="63"/>
      <c r="F54" s="63"/>
      <c r="G54" s="63"/>
      <c r="H54" s="63"/>
      <c r="I54" s="63"/>
      <c r="J54" s="63"/>
      <c r="K54" s="63"/>
      <c r="L54" s="63"/>
      <c r="M54" s="63"/>
      <c r="N54" s="63"/>
      <c r="O54" s="63"/>
      <c r="P54" s="63"/>
      <c r="Q54" s="63"/>
      <c r="R54" s="63"/>
      <c r="S54" s="63"/>
      <c r="T54" s="63"/>
      <c r="U54" s="63"/>
      <c r="V54" s="63"/>
      <c r="W54" s="63"/>
      <c r="X54" s="63"/>
      <c r="Y54" s="63"/>
    </row>
    <row r="55" spans="1:25" x14ac:dyDescent="0.2">
      <c r="A55" s="63"/>
      <c r="B55" s="63"/>
      <c r="C55" s="63"/>
      <c r="D55" s="63"/>
      <c r="E55" s="63"/>
      <c r="F55" s="63"/>
      <c r="G55" s="63"/>
      <c r="H55" s="63"/>
      <c r="I55" s="63"/>
      <c r="J55" s="63"/>
      <c r="K55" s="63"/>
      <c r="L55" s="63"/>
      <c r="M55" s="63"/>
      <c r="N55" s="63"/>
      <c r="O55" s="63"/>
      <c r="P55" s="63"/>
      <c r="Q55" s="63"/>
      <c r="R55" s="63"/>
      <c r="S55" s="63"/>
      <c r="T55" s="63"/>
      <c r="U55" s="63"/>
      <c r="V55" s="63"/>
      <c r="W55" s="63"/>
      <c r="X55" s="63"/>
      <c r="Y55" s="63"/>
    </row>
    <row r="56" spans="1:25" x14ac:dyDescent="0.2">
      <c r="A56" s="63"/>
      <c r="B56" s="63"/>
      <c r="C56" s="63"/>
      <c r="D56" s="63"/>
      <c r="E56" s="63"/>
      <c r="F56" s="63"/>
      <c r="G56" s="63"/>
      <c r="H56" s="63"/>
      <c r="I56" s="63"/>
      <c r="J56" s="63"/>
      <c r="K56" s="63"/>
      <c r="L56" s="63"/>
      <c r="M56" s="63"/>
      <c r="N56" s="63"/>
      <c r="O56" s="63"/>
      <c r="P56" s="63"/>
      <c r="Q56" s="63"/>
      <c r="R56" s="63"/>
      <c r="S56" s="63"/>
      <c r="T56" s="63"/>
      <c r="U56" s="63"/>
      <c r="V56" s="63"/>
      <c r="W56" s="63"/>
      <c r="X56" s="63"/>
      <c r="Y56" s="63"/>
    </row>
    <row r="57" spans="1:25" x14ac:dyDescent="0.2">
      <c r="A57" s="63"/>
      <c r="B57" s="63"/>
      <c r="C57" s="63"/>
      <c r="D57" s="63"/>
      <c r="E57" s="63"/>
      <c r="F57" s="63"/>
      <c r="G57" s="63"/>
      <c r="H57" s="63"/>
      <c r="I57" s="63"/>
      <c r="J57" s="63"/>
      <c r="K57" s="63"/>
      <c r="L57" s="63"/>
      <c r="M57" s="63"/>
      <c r="N57" s="63"/>
      <c r="O57" s="63"/>
      <c r="P57" s="63"/>
      <c r="Q57" s="63"/>
      <c r="R57" s="63"/>
      <c r="S57" s="63"/>
      <c r="T57" s="63"/>
      <c r="U57" s="63"/>
      <c r="V57" s="63"/>
      <c r="W57" s="63"/>
      <c r="X57" s="63"/>
      <c r="Y57" s="63"/>
    </row>
    <row r="58" spans="1:25" x14ac:dyDescent="0.2">
      <c r="A58" s="63"/>
      <c r="B58" s="63"/>
      <c r="C58" s="63"/>
      <c r="D58" s="63"/>
      <c r="E58" s="63"/>
      <c r="F58" s="63"/>
      <c r="G58" s="63"/>
      <c r="H58" s="63"/>
      <c r="I58" s="63"/>
      <c r="J58" s="63"/>
      <c r="K58" s="63"/>
      <c r="L58" s="63"/>
      <c r="M58" s="63"/>
      <c r="N58" s="63"/>
      <c r="O58" s="63"/>
      <c r="P58" s="63"/>
      <c r="Q58" s="63"/>
      <c r="R58" s="63"/>
      <c r="S58" s="63"/>
      <c r="T58" s="63"/>
      <c r="U58" s="63"/>
      <c r="V58" s="63"/>
      <c r="W58" s="63"/>
      <c r="X58" s="63"/>
      <c r="Y58" s="63"/>
    </row>
    <row r="59" spans="1:25" x14ac:dyDescent="0.2">
      <c r="A59" s="63"/>
      <c r="B59" s="63"/>
      <c r="C59" s="63"/>
      <c r="D59" s="63"/>
      <c r="E59" s="63"/>
      <c r="F59" s="63"/>
      <c r="G59" s="63"/>
      <c r="H59" s="63"/>
      <c r="I59" s="63"/>
      <c r="J59" s="63"/>
      <c r="K59" s="63"/>
      <c r="L59" s="63"/>
      <c r="M59" s="63"/>
      <c r="N59" s="63"/>
      <c r="O59" s="63"/>
      <c r="P59" s="63"/>
      <c r="Q59" s="63"/>
      <c r="R59" s="63"/>
      <c r="S59" s="63"/>
      <c r="T59" s="63"/>
      <c r="U59" s="63"/>
      <c r="V59" s="63"/>
      <c r="W59" s="63"/>
      <c r="X59" s="63"/>
      <c r="Y59" s="63"/>
    </row>
    <row r="60" spans="1:25" x14ac:dyDescent="0.2">
      <c r="A60" s="63"/>
      <c r="B60" s="63"/>
      <c r="C60" s="63"/>
      <c r="D60" s="63"/>
      <c r="E60" s="63"/>
      <c r="F60" s="63"/>
      <c r="G60" s="63"/>
      <c r="H60" s="63"/>
      <c r="I60" s="63"/>
      <c r="J60" s="63"/>
      <c r="K60" s="63"/>
      <c r="L60" s="63"/>
      <c r="M60" s="63"/>
      <c r="N60" s="63"/>
      <c r="O60" s="63"/>
      <c r="P60" s="63"/>
      <c r="Q60" s="63"/>
      <c r="R60" s="63"/>
      <c r="S60" s="63"/>
      <c r="T60" s="63"/>
      <c r="U60" s="63"/>
      <c r="V60" s="63"/>
      <c r="W60" s="63"/>
      <c r="X60" s="63"/>
      <c r="Y60" s="63"/>
    </row>
    <row r="61" spans="1:25" x14ac:dyDescent="0.2">
      <c r="A61" s="63"/>
      <c r="B61" s="63"/>
      <c r="C61" s="63"/>
      <c r="D61" s="63"/>
      <c r="E61" s="63"/>
      <c r="F61" s="63"/>
      <c r="G61" s="63"/>
      <c r="H61" s="63"/>
      <c r="I61" s="63"/>
      <c r="J61" s="63"/>
      <c r="K61" s="63"/>
      <c r="L61" s="63"/>
      <c r="M61" s="63"/>
      <c r="N61" s="63"/>
      <c r="O61" s="63"/>
      <c r="P61" s="63"/>
      <c r="Q61" s="63"/>
      <c r="R61" s="63"/>
      <c r="S61" s="63"/>
      <c r="T61" s="63"/>
      <c r="U61" s="63"/>
      <c r="V61" s="63"/>
      <c r="W61" s="63"/>
      <c r="X61" s="63"/>
      <c r="Y61" s="63"/>
    </row>
    <row r="62" spans="1:25" x14ac:dyDescent="0.2">
      <c r="A62" s="63"/>
      <c r="B62" s="63"/>
      <c r="C62" s="63"/>
      <c r="D62" s="63"/>
      <c r="E62" s="63"/>
      <c r="F62" s="63"/>
      <c r="G62" s="63"/>
      <c r="H62" s="63"/>
      <c r="I62" s="63"/>
      <c r="J62" s="63"/>
      <c r="K62" s="63"/>
      <c r="L62" s="63"/>
      <c r="M62" s="63"/>
      <c r="N62" s="63"/>
      <c r="O62" s="63"/>
      <c r="P62" s="63"/>
      <c r="Q62" s="63"/>
      <c r="R62" s="63"/>
      <c r="S62" s="63"/>
      <c r="T62" s="63"/>
      <c r="U62" s="63"/>
      <c r="V62" s="63"/>
      <c r="W62" s="63"/>
      <c r="X62" s="63"/>
      <c r="Y62" s="63"/>
    </row>
    <row r="63" spans="1:25" x14ac:dyDescent="0.2">
      <c r="A63" s="63"/>
      <c r="B63" s="63"/>
      <c r="C63" s="63"/>
      <c r="D63" s="63"/>
      <c r="E63" s="63"/>
      <c r="F63" s="63"/>
      <c r="G63" s="63"/>
      <c r="H63" s="63"/>
      <c r="I63" s="63"/>
      <c r="J63" s="63"/>
      <c r="K63" s="63"/>
      <c r="L63" s="63"/>
      <c r="M63" s="63"/>
      <c r="N63" s="63"/>
      <c r="O63" s="63"/>
      <c r="P63" s="63"/>
      <c r="Q63" s="63"/>
      <c r="R63" s="63"/>
      <c r="S63" s="63"/>
      <c r="T63" s="63"/>
      <c r="U63" s="63"/>
      <c r="V63" s="63"/>
      <c r="W63" s="63"/>
      <c r="X63" s="63"/>
      <c r="Y63" s="63"/>
    </row>
    <row r="64" spans="1:25" x14ac:dyDescent="0.2">
      <c r="A64" s="63"/>
      <c r="B64" s="63"/>
      <c r="C64" s="63"/>
      <c r="D64" s="63"/>
      <c r="E64" s="63"/>
      <c r="F64" s="63"/>
      <c r="G64" s="63"/>
      <c r="H64" s="63"/>
      <c r="I64" s="63"/>
      <c r="J64" s="63"/>
      <c r="K64" s="63"/>
      <c r="L64" s="63"/>
      <c r="M64" s="63"/>
      <c r="N64" s="63"/>
      <c r="O64" s="63"/>
      <c r="P64" s="63"/>
      <c r="Q64" s="63"/>
      <c r="R64" s="63"/>
      <c r="S64" s="63"/>
      <c r="T64" s="63"/>
      <c r="U64" s="63"/>
      <c r="V64" s="63"/>
      <c r="W64" s="63"/>
      <c r="X64" s="63"/>
      <c r="Y64" s="63"/>
    </row>
    <row r="65" spans="1:25" x14ac:dyDescent="0.2">
      <c r="A65" s="63"/>
      <c r="B65" s="63"/>
      <c r="C65" s="63"/>
      <c r="D65" s="63"/>
      <c r="E65" s="63"/>
      <c r="F65" s="63"/>
      <c r="G65" s="63"/>
      <c r="H65" s="63"/>
      <c r="I65" s="63"/>
      <c r="J65" s="63"/>
      <c r="K65" s="63"/>
      <c r="L65" s="63"/>
      <c r="M65" s="63"/>
      <c r="N65" s="63"/>
      <c r="O65" s="63"/>
      <c r="P65" s="63"/>
      <c r="Q65" s="63"/>
      <c r="R65" s="63"/>
      <c r="S65" s="63"/>
      <c r="T65" s="63"/>
      <c r="U65" s="63"/>
      <c r="V65" s="63"/>
      <c r="W65" s="63"/>
      <c r="X65" s="63"/>
      <c r="Y65" s="63"/>
    </row>
    <row r="66" spans="1:25" x14ac:dyDescent="0.2">
      <c r="A66" s="63"/>
      <c r="B66" s="63"/>
      <c r="C66" s="63"/>
      <c r="D66" s="63"/>
      <c r="E66" s="63"/>
      <c r="F66" s="63"/>
      <c r="G66" s="63"/>
      <c r="H66" s="63"/>
      <c r="I66" s="63"/>
      <c r="J66" s="63"/>
      <c r="K66" s="63"/>
      <c r="L66" s="63"/>
      <c r="M66" s="63"/>
      <c r="N66" s="63"/>
      <c r="O66" s="63"/>
      <c r="P66" s="63"/>
      <c r="Q66" s="63"/>
      <c r="R66" s="63"/>
      <c r="S66" s="63"/>
      <c r="T66" s="63"/>
      <c r="U66" s="63"/>
      <c r="V66" s="63"/>
      <c r="W66" s="63"/>
      <c r="X66" s="63"/>
      <c r="Y66" s="63"/>
    </row>
    <row r="67" spans="1:25" x14ac:dyDescent="0.2">
      <c r="A67" s="63"/>
      <c r="B67" s="63"/>
      <c r="C67" s="63"/>
      <c r="D67" s="63"/>
      <c r="E67" s="63"/>
      <c r="F67" s="63"/>
      <c r="G67" s="63"/>
      <c r="H67" s="63"/>
      <c r="I67" s="63"/>
      <c r="J67" s="63"/>
      <c r="K67" s="63"/>
      <c r="L67" s="63"/>
      <c r="M67" s="63"/>
      <c r="N67" s="63"/>
      <c r="O67" s="63"/>
      <c r="P67" s="63"/>
      <c r="Q67" s="63"/>
      <c r="R67" s="63"/>
      <c r="S67" s="63"/>
      <c r="T67" s="63"/>
      <c r="U67" s="63"/>
      <c r="V67" s="63"/>
      <c r="W67" s="63"/>
      <c r="X67" s="63"/>
      <c r="Y67" s="63"/>
    </row>
    <row r="68" spans="1:25" x14ac:dyDescent="0.2">
      <c r="A68" s="63"/>
      <c r="B68" s="63"/>
      <c r="C68" s="63"/>
      <c r="D68" s="63"/>
      <c r="E68" s="63"/>
      <c r="F68" s="63"/>
      <c r="G68" s="63"/>
      <c r="H68" s="63"/>
      <c r="I68" s="63"/>
      <c r="J68" s="63"/>
      <c r="K68" s="63"/>
      <c r="L68" s="63"/>
      <c r="M68" s="63"/>
      <c r="N68" s="63"/>
      <c r="O68" s="63"/>
      <c r="P68" s="63"/>
      <c r="Q68" s="63"/>
      <c r="R68" s="63"/>
      <c r="S68" s="63"/>
      <c r="T68" s="63"/>
      <c r="U68" s="63"/>
      <c r="V68" s="63"/>
      <c r="W68" s="63"/>
      <c r="X68" s="63"/>
      <c r="Y68" s="63"/>
    </row>
    <row r="69" spans="1:25" x14ac:dyDescent="0.2">
      <c r="A69" s="63"/>
      <c r="B69" s="63"/>
      <c r="C69" s="63"/>
      <c r="D69" s="63"/>
      <c r="E69" s="63"/>
      <c r="F69" s="63"/>
      <c r="G69" s="63"/>
      <c r="H69" s="63"/>
      <c r="I69" s="63"/>
      <c r="J69" s="63"/>
      <c r="K69" s="63"/>
      <c r="L69" s="63"/>
      <c r="M69" s="63"/>
      <c r="N69" s="63"/>
      <c r="O69" s="63"/>
      <c r="P69" s="63"/>
      <c r="Q69" s="63"/>
      <c r="R69" s="63"/>
      <c r="S69" s="63"/>
      <c r="T69" s="63"/>
      <c r="U69" s="63"/>
      <c r="V69" s="63"/>
      <c r="W69" s="63"/>
      <c r="X69" s="63"/>
      <c r="Y69" s="63"/>
    </row>
    <row r="70" spans="1:25" x14ac:dyDescent="0.2">
      <c r="A70" s="63"/>
      <c r="B70" s="63"/>
      <c r="C70" s="63"/>
      <c r="D70" s="63"/>
      <c r="E70" s="63"/>
      <c r="F70" s="63"/>
      <c r="G70" s="63"/>
      <c r="H70" s="63"/>
      <c r="I70" s="63"/>
      <c r="J70" s="63"/>
      <c r="K70" s="63"/>
      <c r="L70" s="63"/>
      <c r="M70" s="63"/>
      <c r="N70" s="63"/>
      <c r="O70" s="63"/>
      <c r="P70" s="63"/>
      <c r="Q70" s="63"/>
      <c r="R70" s="63"/>
      <c r="S70" s="63"/>
      <c r="T70" s="63"/>
      <c r="U70" s="63"/>
      <c r="V70" s="63"/>
      <c r="W70" s="63"/>
      <c r="X70" s="63"/>
      <c r="Y70" s="63"/>
    </row>
    <row r="71" spans="1:25" x14ac:dyDescent="0.2">
      <c r="A71" s="63"/>
      <c r="B71" s="63"/>
      <c r="C71" s="63"/>
      <c r="D71" s="63"/>
      <c r="E71" s="63"/>
      <c r="F71" s="63"/>
      <c r="G71" s="63"/>
      <c r="H71" s="63"/>
      <c r="I71" s="63"/>
      <c r="J71" s="63"/>
      <c r="K71" s="63"/>
      <c r="L71" s="63"/>
      <c r="M71" s="63"/>
      <c r="N71" s="63"/>
      <c r="O71" s="63"/>
      <c r="P71" s="63"/>
      <c r="Q71" s="63"/>
      <c r="R71" s="63"/>
      <c r="S71" s="63"/>
      <c r="T71" s="63"/>
      <c r="U71" s="63"/>
      <c r="V71" s="63"/>
      <c r="W71" s="63"/>
      <c r="X71" s="63"/>
      <c r="Y71" s="63"/>
    </row>
    <row r="72" spans="1:25" x14ac:dyDescent="0.2">
      <c r="A72" s="63"/>
      <c r="B72" s="63"/>
      <c r="C72" s="63"/>
      <c r="D72" s="63"/>
      <c r="E72" s="63"/>
      <c r="F72" s="63"/>
      <c r="G72" s="63"/>
      <c r="H72" s="63"/>
      <c r="I72" s="63"/>
      <c r="J72" s="63"/>
      <c r="K72" s="63"/>
      <c r="L72" s="63"/>
      <c r="M72" s="63"/>
      <c r="N72" s="63"/>
      <c r="O72" s="63"/>
      <c r="P72" s="63"/>
      <c r="Q72" s="63"/>
      <c r="R72" s="63"/>
      <c r="S72" s="63"/>
      <c r="T72" s="63"/>
      <c r="U72" s="63"/>
      <c r="V72" s="63"/>
      <c r="W72" s="63"/>
      <c r="X72" s="63"/>
      <c r="Y72" s="63"/>
    </row>
    <row r="73" spans="1:25" x14ac:dyDescent="0.2">
      <c r="A73" s="63"/>
      <c r="B73" s="63"/>
      <c r="C73" s="63"/>
      <c r="D73" s="63"/>
      <c r="E73" s="63"/>
      <c r="F73" s="63"/>
      <c r="G73" s="63"/>
      <c r="H73" s="63"/>
      <c r="I73" s="63"/>
      <c r="J73" s="63"/>
      <c r="K73" s="63"/>
      <c r="L73" s="63"/>
      <c r="M73" s="63"/>
      <c r="N73" s="63"/>
      <c r="O73" s="63"/>
      <c r="P73" s="63"/>
      <c r="Q73" s="63"/>
      <c r="R73" s="63"/>
      <c r="S73" s="63"/>
      <c r="T73" s="63"/>
      <c r="U73" s="63"/>
      <c r="V73" s="63"/>
      <c r="W73" s="63"/>
      <c r="X73" s="63"/>
      <c r="Y73" s="63"/>
    </row>
    <row r="74" spans="1:25" x14ac:dyDescent="0.2">
      <c r="A74" s="63"/>
      <c r="B74" s="63"/>
      <c r="C74" s="63"/>
      <c r="D74" s="63"/>
      <c r="E74" s="63"/>
      <c r="F74" s="63"/>
      <c r="G74" s="63"/>
      <c r="H74" s="63"/>
      <c r="I74" s="63"/>
      <c r="J74" s="63"/>
      <c r="K74" s="63"/>
      <c r="L74" s="63"/>
      <c r="M74" s="63"/>
      <c r="N74" s="63"/>
      <c r="O74" s="63"/>
      <c r="P74" s="63"/>
      <c r="Q74" s="63"/>
      <c r="R74" s="63"/>
      <c r="S74" s="63"/>
      <c r="T74" s="63"/>
      <c r="U74" s="63"/>
      <c r="V74" s="63"/>
      <c r="W74" s="63"/>
      <c r="X74" s="63"/>
      <c r="Y74" s="63"/>
    </row>
    <row r="75" spans="1:25" x14ac:dyDescent="0.2">
      <c r="A75" s="63"/>
      <c r="B75" s="63"/>
      <c r="C75" s="63"/>
      <c r="D75" s="63"/>
      <c r="E75" s="63"/>
      <c r="F75" s="63"/>
      <c r="G75" s="63"/>
      <c r="H75" s="63"/>
      <c r="I75" s="63"/>
      <c r="J75" s="63"/>
      <c r="K75" s="63"/>
      <c r="L75" s="63"/>
      <c r="M75" s="63"/>
      <c r="N75" s="63"/>
      <c r="O75" s="63"/>
      <c r="P75" s="63"/>
      <c r="Q75" s="63"/>
      <c r="R75" s="63"/>
      <c r="S75" s="63"/>
      <c r="T75" s="63"/>
      <c r="U75" s="63"/>
      <c r="V75" s="63"/>
      <c r="W75" s="63"/>
      <c r="X75" s="63"/>
      <c r="Y75" s="63"/>
    </row>
    <row r="76" spans="1:25" x14ac:dyDescent="0.2">
      <c r="A76" s="63"/>
      <c r="B76" s="63"/>
      <c r="C76" s="63"/>
      <c r="D76" s="63"/>
      <c r="E76" s="63"/>
      <c r="F76" s="63"/>
      <c r="G76" s="63"/>
      <c r="H76" s="63"/>
      <c r="I76" s="63"/>
      <c r="J76" s="63"/>
      <c r="K76" s="63"/>
      <c r="L76" s="63"/>
      <c r="M76" s="63"/>
      <c r="N76" s="63"/>
      <c r="O76" s="63"/>
      <c r="P76" s="63"/>
      <c r="Q76" s="63"/>
      <c r="R76" s="63"/>
      <c r="S76" s="63"/>
      <c r="T76" s="63"/>
      <c r="U76" s="63"/>
      <c r="V76" s="63"/>
      <c r="W76" s="63"/>
      <c r="X76" s="63"/>
      <c r="Y76" s="63"/>
    </row>
    <row r="77" spans="1:25" x14ac:dyDescent="0.2">
      <c r="A77" s="63"/>
      <c r="B77" s="63"/>
      <c r="C77" s="63"/>
      <c r="D77" s="63"/>
      <c r="E77" s="63"/>
      <c r="F77" s="63"/>
      <c r="G77" s="63"/>
      <c r="H77" s="63"/>
      <c r="I77" s="63"/>
      <c r="J77" s="63"/>
      <c r="K77" s="63"/>
      <c r="L77" s="63"/>
      <c r="M77" s="63"/>
      <c r="N77" s="63"/>
      <c r="O77" s="63"/>
      <c r="P77" s="63"/>
      <c r="Q77" s="63"/>
      <c r="R77" s="63"/>
      <c r="S77" s="63"/>
      <c r="T77" s="63"/>
      <c r="U77" s="63"/>
      <c r="V77" s="63"/>
      <c r="W77" s="63"/>
      <c r="X77" s="63"/>
      <c r="Y77" s="63"/>
    </row>
    <row r="78" spans="1:25" x14ac:dyDescent="0.2">
      <c r="A78" s="63"/>
      <c r="B78" s="63"/>
      <c r="C78" s="63"/>
      <c r="D78" s="63"/>
      <c r="E78" s="63"/>
      <c r="F78" s="63"/>
      <c r="G78" s="63"/>
      <c r="H78" s="63"/>
      <c r="I78" s="63"/>
      <c r="J78" s="63"/>
      <c r="K78" s="63"/>
      <c r="L78" s="63"/>
      <c r="M78" s="63"/>
      <c r="N78" s="63"/>
      <c r="O78" s="63"/>
      <c r="P78" s="63"/>
      <c r="Q78" s="63"/>
      <c r="R78" s="63"/>
      <c r="S78" s="63"/>
      <c r="T78" s="63"/>
      <c r="U78" s="63"/>
      <c r="V78" s="63"/>
      <c r="W78" s="63"/>
      <c r="X78" s="63"/>
      <c r="Y78" s="63"/>
    </row>
    <row r="79" spans="1:25" x14ac:dyDescent="0.2">
      <c r="A79" s="63"/>
      <c r="B79" s="63"/>
      <c r="C79" s="63"/>
      <c r="D79" s="63"/>
      <c r="E79" s="63"/>
      <c r="F79" s="63"/>
      <c r="G79" s="63"/>
      <c r="H79" s="63"/>
      <c r="I79" s="63"/>
      <c r="J79" s="63"/>
      <c r="K79" s="63"/>
      <c r="L79" s="63"/>
      <c r="M79" s="63"/>
      <c r="N79" s="63"/>
      <c r="O79" s="63"/>
      <c r="P79" s="63"/>
      <c r="Q79" s="63"/>
      <c r="R79" s="63"/>
      <c r="S79" s="63"/>
      <c r="T79" s="63"/>
      <c r="U79" s="63"/>
      <c r="V79" s="63"/>
      <c r="W79" s="63"/>
      <c r="X79" s="63"/>
      <c r="Y79" s="63"/>
    </row>
    <row r="80" spans="1:25" x14ac:dyDescent="0.2">
      <c r="A80" s="63"/>
      <c r="B80" s="63"/>
      <c r="C80" s="63"/>
      <c r="D80" s="63"/>
      <c r="E80" s="63"/>
      <c r="F80" s="63"/>
      <c r="G80" s="63"/>
      <c r="H80" s="63"/>
      <c r="I80" s="63"/>
      <c r="J80" s="63"/>
      <c r="K80" s="63"/>
      <c r="L80" s="63"/>
      <c r="M80" s="63"/>
      <c r="N80" s="63"/>
      <c r="O80" s="63"/>
      <c r="P80" s="63"/>
      <c r="Q80" s="63"/>
      <c r="R80" s="63"/>
      <c r="S80" s="63"/>
      <c r="T80" s="63"/>
      <c r="U80" s="63"/>
      <c r="V80" s="63"/>
      <c r="W80" s="63"/>
      <c r="X80" s="63"/>
      <c r="Y80" s="63"/>
    </row>
    <row r="81" spans="1:25" x14ac:dyDescent="0.2">
      <c r="A81" s="63"/>
      <c r="B81" s="63"/>
      <c r="C81" s="63"/>
      <c r="D81" s="63"/>
      <c r="E81" s="63"/>
      <c r="F81" s="63"/>
      <c r="G81" s="63"/>
      <c r="H81" s="63"/>
      <c r="I81" s="63"/>
      <c r="J81" s="63"/>
      <c r="K81" s="63"/>
      <c r="L81" s="63"/>
      <c r="M81" s="63"/>
      <c r="N81" s="63"/>
      <c r="O81" s="63"/>
      <c r="P81" s="63"/>
      <c r="Q81" s="63"/>
      <c r="R81" s="63"/>
      <c r="S81" s="63"/>
      <c r="T81" s="63"/>
      <c r="U81" s="63"/>
      <c r="V81" s="63"/>
      <c r="W81" s="63"/>
      <c r="X81" s="63"/>
      <c r="Y81" s="63"/>
    </row>
    <row r="82" spans="1:25" x14ac:dyDescent="0.2">
      <c r="A82" s="63"/>
      <c r="B82" s="63"/>
      <c r="C82" s="63"/>
      <c r="D82" s="63"/>
      <c r="E82" s="63"/>
      <c r="F82" s="63"/>
      <c r="G82" s="63"/>
      <c r="H82" s="63"/>
      <c r="I82" s="63"/>
      <c r="J82" s="63"/>
      <c r="K82" s="63"/>
      <c r="L82" s="63"/>
      <c r="M82" s="63"/>
      <c r="N82" s="63"/>
      <c r="O82" s="63"/>
      <c r="P82" s="63"/>
      <c r="Q82" s="63"/>
      <c r="R82" s="63"/>
      <c r="S82" s="63"/>
      <c r="T82" s="63"/>
      <c r="U82" s="63"/>
      <c r="V82" s="63"/>
      <c r="W82" s="63"/>
      <c r="X82" s="63"/>
      <c r="Y82" s="63"/>
    </row>
    <row r="83" spans="1:25" x14ac:dyDescent="0.2">
      <c r="A83" s="63"/>
      <c r="B83" s="63"/>
      <c r="C83" s="63"/>
      <c r="D83" s="63"/>
      <c r="E83" s="63"/>
      <c r="F83" s="63"/>
      <c r="G83" s="63"/>
      <c r="H83" s="63"/>
      <c r="I83" s="63"/>
      <c r="J83" s="63"/>
      <c r="K83" s="63"/>
      <c r="L83" s="63"/>
      <c r="M83" s="63"/>
      <c r="N83" s="63"/>
      <c r="O83" s="63"/>
      <c r="P83" s="63"/>
      <c r="Q83" s="63"/>
      <c r="R83" s="63"/>
      <c r="S83" s="63"/>
      <c r="T83" s="63"/>
      <c r="U83" s="63"/>
      <c r="V83" s="63"/>
      <c r="W83" s="63"/>
      <c r="X83" s="63"/>
      <c r="Y83" s="63"/>
    </row>
    <row r="84" spans="1:25" x14ac:dyDescent="0.2">
      <c r="A84" s="63"/>
      <c r="B84" s="63"/>
      <c r="C84" s="63"/>
      <c r="D84" s="63"/>
      <c r="E84" s="63"/>
      <c r="F84" s="63"/>
      <c r="G84" s="63"/>
      <c r="H84" s="63"/>
      <c r="I84" s="63"/>
      <c r="J84" s="63"/>
      <c r="K84" s="63"/>
      <c r="L84" s="63"/>
      <c r="M84" s="63"/>
      <c r="N84" s="63"/>
      <c r="O84" s="63"/>
      <c r="P84" s="63"/>
      <c r="Q84" s="63"/>
      <c r="R84" s="63"/>
      <c r="S84" s="63"/>
      <c r="T84" s="63"/>
      <c r="U84" s="63"/>
      <c r="V84" s="63"/>
      <c r="W84" s="63"/>
      <c r="X84" s="63"/>
      <c r="Y84" s="63"/>
    </row>
    <row r="85" spans="1:25" x14ac:dyDescent="0.2">
      <c r="A85" s="63"/>
      <c r="B85" s="63"/>
      <c r="C85" s="63"/>
      <c r="D85" s="63"/>
      <c r="E85" s="63"/>
      <c r="F85" s="63"/>
      <c r="G85" s="63"/>
      <c r="H85" s="63"/>
      <c r="I85" s="63"/>
      <c r="J85" s="63"/>
      <c r="K85" s="63"/>
      <c r="L85" s="63"/>
      <c r="M85" s="63"/>
      <c r="N85" s="63"/>
      <c r="O85" s="63"/>
      <c r="P85" s="63"/>
      <c r="Q85" s="63"/>
      <c r="R85" s="63"/>
      <c r="S85" s="63"/>
      <c r="T85" s="63"/>
      <c r="U85" s="63"/>
      <c r="V85" s="63"/>
      <c r="W85" s="63"/>
      <c r="X85" s="63"/>
      <c r="Y85" s="63"/>
    </row>
    <row r="86" spans="1:25" x14ac:dyDescent="0.2">
      <c r="A86" s="63"/>
      <c r="B86" s="63"/>
      <c r="C86" s="63"/>
      <c r="D86" s="63"/>
      <c r="E86" s="63"/>
      <c r="F86" s="63"/>
      <c r="G86" s="63"/>
      <c r="H86" s="63"/>
      <c r="I86" s="63"/>
      <c r="J86" s="63"/>
      <c r="K86" s="63"/>
      <c r="L86" s="63"/>
      <c r="M86" s="63"/>
      <c r="N86" s="63"/>
      <c r="O86" s="63"/>
      <c r="P86" s="63"/>
      <c r="Q86" s="63"/>
      <c r="R86" s="63"/>
      <c r="S86" s="63"/>
      <c r="T86" s="63"/>
      <c r="U86" s="63"/>
      <c r="V86" s="63"/>
      <c r="W86" s="63"/>
      <c r="X86" s="63"/>
      <c r="Y86" s="63"/>
    </row>
    <row r="87" spans="1:25" x14ac:dyDescent="0.2">
      <c r="A87" s="63"/>
      <c r="B87" s="63"/>
      <c r="C87" s="63"/>
      <c r="D87" s="63"/>
      <c r="E87" s="63"/>
      <c r="F87" s="63"/>
      <c r="G87" s="63"/>
      <c r="H87" s="63"/>
      <c r="I87" s="63"/>
      <c r="J87" s="63"/>
      <c r="K87" s="63"/>
      <c r="L87" s="63"/>
      <c r="M87" s="63"/>
      <c r="N87" s="63"/>
      <c r="O87" s="63"/>
      <c r="P87" s="63"/>
      <c r="Q87" s="63"/>
      <c r="R87" s="63"/>
      <c r="S87" s="63"/>
      <c r="T87" s="63"/>
      <c r="U87" s="63"/>
      <c r="V87" s="63"/>
      <c r="W87" s="63"/>
      <c r="X87" s="63"/>
      <c r="Y87" s="63"/>
    </row>
    <row r="88" spans="1:25" x14ac:dyDescent="0.2">
      <c r="A88" s="63"/>
      <c r="B88" s="63"/>
      <c r="C88" s="63"/>
      <c r="D88" s="63"/>
      <c r="E88" s="63"/>
      <c r="F88" s="63"/>
      <c r="G88" s="63"/>
      <c r="H88" s="63"/>
      <c r="I88" s="63"/>
      <c r="J88" s="63"/>
      <c r="K88" s="63"/>
      <c r="L88" s="63"/>
      <c r="M88" s="63"/>
      <c r="N88" s="63"/>
      <c r="O88" s="63"/>
      <c r="P88" s="63"/>
      <c r="Q88" s="63"/>
      <c r="R88" s="63"/>
      <c r="S88" s="63"/>
      <c r="T88" s="63"/>
      <c r="U88" s="63"/>
      <c r="V88" s="63"/>
      <c r="W88" s="63"/>
      <c r="X88" s="63"/>
      <c r="Y88" s="63"/>
    </row>
    <row r="89" spans="1:25" x14ac:dyDescent="0.2">
      <c r="A89" s="63"/>
      <c r="B89" s="63"/>
      <c r="C89" s="63"/>
      <c r="D89" s="63"/>
      <c r="E89" s="63"/>
      <c r="F89" s="63"/>
      <c r="G89" s="63"/>
      <c r="H89" s="63"/>
      <c r="I89" s="63"/>
      <c r="J89" s="63"/>
      <c r="K89" s="63"/>
      <c r="L89" s="63"/>
      <c r="M89" s="63"/>
      <c r="N89" s="63"/>
      <c r="O89" s="63"/>
      <c r="P89" s="63"/>
      <c r="Q89" s="63"/>
      <c r="R89" s="63"/>
      <c r="S89" s="63"/>
      <c r="T89" s="63"/>
      <c r="U89" s="63"/>
      <c r="V89" s="63"/>
      <c r="W89" s="63"/>
      <c r="X89" s="63"/>
      <c r="Y89" s="63"/>
    </row>
    <row r="90" spans="1:25" x14ac:dyDescent="0.2">
      <c r="A90" s="63"/>
      <c r="B90" s="63"/>
      <c r="C90" s="63"/>
      <c r="D90" s="63"/>
      <c r="E90" s="63"/>
      <c r="F90" s="63"/>
      <c r="G90" s="63"/>
      <c r="H90" s="63"/>
      <c r="I90" s="63"/>
      <c r="J90" s="63"/>
      <c r="K90" s="63"/>
      <c r="L90" s="63"/>
      <c r="M90" s="63"/>
      <c r="N90" s="63"/>
      <c r="O90" s="63"/>
      <c r="P90" s="63"/>
      <c r="Q90" s="63"/>
      <c r="R90" s="63"/>
      <c r="S90" s="63"/>
      <c r="T90" s="63"/>
      <c r="U90" s="63"/>
      <c r="V90" s="63"/>
      <c r="W90" s="63"/>
      <c r="X90" s="63"/>
      <c r="Y90" s="63"/>
    </row>
    <row r="91" spans="1:25" x14ac:dyDescent="0.2">
      <c r="A91" s="63"/>
      <c r="B91" s="63"/>
      <c r="C91" s="63"/>
      <c r="D91" s="63"/>
      <c r="E91" s="63"/>
      <c r="F91" s="63"/>
      <c r="G91" s="63"/>
      <c r="H91" s="63"/>
      <c r="I91" s="63"/>
      <c r="J91" s="63"/>
      <c r="K91" s="63"/>
      <c r="L91" s="63"/>
      <c r="M91" s="63"/>
      <c r="N91" s="63"/>
      <c r="O91" s="63"/>
      <c r="P91" s="63"/>
      <c r="Q91" s="63"/>
      <c r="R91" s="63"/>
      <c r="S91" s="63"/>
      <c r="T91" s="63"/>
      <c r="U91" s="63"/>
      <c r="V91" s="63"/>
      <c r="W91" s="63"/>
      <c r="X91" s="63"/>
      <c r="Y91" s="63"/>
    </row>
    <row r="92" spans="1:25" x14ac:dyDescent="0.2">
      <c r="A92" s="63"/>
      <c r="B92" s="63"/>
      <c r="C92" s="63"/>
      <c r="D92" s="63"/>
      <c r="E92" s="63"/>
      <c r="F92" s="63"/>
      <c r="G92" s="63"/>
      <c r="H92" s="63"/>
      <c r="I92" s="63"/>
      <c r="J92" s="63"/>
      <c r="K92" s="63"/>
      <c r="L92" s="63"/>
      <c r="M92" s="63"/>
      <c r="N92" s="63"/>
      <c r="O92" s="63"/>
      <c r="P92" s="63"/>
      <c r="Q92" s="63"/>
      <c r="R92" s="63"/>
      <c r="S92" s="63"/>
      <c r="T92" s="63"/>
      <c r="U92" s="63"/>
      <c r="V92" s="63"/>
      <c r="W92" s="63"/>
      <c r="X92" s="63"/>
      <c r="Y92" s="63"/>
    </row>
    <row r="93" spans="1:25" x14ac:dyDescent="0.2">
      <c r="A93" s="63"/>
      <c r="B93" s="63"/>
      <c r="C93" s="63"/>
      <c r="D93" s="63"/>
      <c r="E93" s="63"/>
      <c r="F93" s="63"/>
      <c r="G93" s="63"/>
      <c r="H93" s="63"/>
      <c r="I93" s="63"/>
      <c r="J93" s="63"/>
      <c r="K93" s="63"/>
      <c r="L93" s="63"/>
      <c r="M93" s="63"/>
      <c r="N93" s="63"/>
      <c r="O93" s="63"/>
      <c r="P93" s="63"/>
      <c r="Q93" s="63"/>
      <c r="R93" s="63"/>
      <c r="S93" s="63"/>
      <c r="T93" s="63"/>
      <c r="U93" s="63"/>
      <c r="V93" s="63"/>
      <c r="W93" s="63"/>
      <c r="X93" s="63"/>
      <c r="Y93" s="63"/>
    </row>
    <row r="94" spans="1:25" x14ac:dyDescent="0.2">
      <c r="A94" s="63"/>
      <c r="B94" s="63"/>
      <c r="C94" s="63"/>
      <c r="D94" s="63"/>
      <c r="E94" s="63"/>
      <c r="F94" s="63"/>
      <c r="G94" s="63"/>
      <c r="H94" s="63"/>
      <c r="I94" s="63"/>
      <c r="J94" s="63"/>
      <c r="K94" s="63"/>
      <c r="L94" s="63"/>
      <c r="M94" s="63"/>
      <c r="N94" s="63"/>
      <c r="O94" s="63"/>
      <c r="P94" s="63"/>
      <c r="Q94" s="63"/>
      <c r="R94" s="63"/>
      <c r="S94" s="63"/>
      <c r="T94" s="63"/>
      <c r="U94" s="63"/>
      <c r="V94" s="63"/>
      <c r="W94" s="63"/>
      <c r="X94" s="63"/>
      <c r="Y94" s="63"/>
    </row>
    <row r="95" spans="1:25" x14ac:dyDescent="0.2">
      <c r="A95" s="63"/>
      <c r="B95" s="63"/>
      <c r="C95" s="63"/>
      <c r="D95" s="63"/>
      <c r="E95" s="63"/>
      <c r="F95" s="63"/>
      <c r="G95" s="63"/>
      <c r="H95" s="63"/>
      <c r="I95" s="63"/>
      <c r="J95" s="63"/>
      <c r="K95" s="63"/>
      <c r="L95" s="63"/>
      <c r="M95" s="63"/>
      <c r="N95" s="63"/>
      <c r="O95" s="63"/>
      <c r="P95" s="63"/>
      <c r="Q95" s="63"/>
      <c r="R95" s="63"/>
      <c r="S95" s="63"/>
      <c r="T95" s="63"/>
      <c r="U95" s="63"/>
      <c r="V95" s="63"/>
      <c r="W95" s="63"/>
      <c r="X95" s="63"/>
      <c r="Y95" s="63"/>
    </row>
    <row r="96" spans="1:25" x14ac:dyDescent="0.2">
      <c r="A96" s="63"/>
      <c r="B96" s="63"/>
      <c r="C96" s="63"/>
      <c r="D96" s="63"/>
      <c r="E96" s="63"/>
      <c r="F96" s="63"/>
      <c r="G96" s="63"/>
      <c r="H96" s="63"/>
      <c r="I96" s="63"/>
      <c r="J96" s="63"/>
      <c r="K96" s="63"/>
      <c r="L96" s="63"/>
      <c r="M96" s="63"/>
      <c r="N96" s="63"/>
      <c r="O96" s="63"/>
      <c r="P96" s="63"/>
      <c r="Q96" s="63"/>
      <c r="R96" s="63"/>
      <c r="S96" s="63"/>
      <c r="T96" s="63"/>
      <c r="U96" s="63"/>
      <c r="V96" s="63"/>
      <c r="W96" s="63"/>
      <c r="X96" s="63"/>
      <c r="Y96" s="63"/>
    </row>
    <row r="97" spans="1:25" x14ac:dyDescent="0.2">
      <c r="A97" s="63"/>
      <c r="B97" s="63"/>
      <c r="C97" s="63"/>
      <c r="D97" s="63"/>
      <c r="E97" s="63"/>
      <c r="F97" s="63"/>
      <c r="G97" s="63"/>
      <c r="H97" s="63"/>
      <c r="I97" s="63"/>
      <c r="J97" s="63"/>
      <c r="K97" s="63"/>
      <c r="L97" s="63"/>
      <c r="M97" s="63"/>
      <c r="N97" s="63"/>
      <c r="O97" s="63"/>
      <c r="P97" s="63"/>
      <c r="Q97" s="63"/>
      <c r="R97" s="63"/>
      <c r="S97" s="63"/>
      <c r="T97" s="63"/>
      <c r="U97" s="63"/>
      <c r="V97" s="63"/>
      <c r="W97" s="63"/>
      <c r="X97" s="63"/>
      <c r="Y97" s="63"/>
    </row>
    <row r="98" spans="1:25" x14ac:dyDescent="0.2">
      <c r="A98" s="63"/>
      <c r="B98" s="63"/>
      <c r="C98" s="63"/>
      <c r="D98" s="63"/>
      <c r="E98" s="63"/>
      <c r="F98" s="63"/>
      <c r="G98" s="63"/>
      <c r="H98" s="63"/>
      <c r="I98" s="63"/>
      <c r="J98" s="63"/>
      <c r="K98" s="63"/>
      <c r="L98" s="63"/>
      <c r="M98" s="63"/>
      <c r="N98" s="63"/>
      <c r="O98" s="63"/>
      <c r="P98" s="63"/>
      <c r="Q98" s="63"/>
      <c r="R98" s="63"/>
      <c r="S98" s="63"/>
      <c r="T98" s="63"/>
      <c r="U98" s="63"/>
      <c r="V98" s="63"/>
      <c r="W98" s="63"/>
      <c r="X98" s="63"/>
      <c r="Y98" s="63"/>
    </row>
    <row r="99" spans="1:25" x14ac:dyDescent="0.2">
      <c r="A99" s="63"/>
      <c r="B99" s="63"/>
      <c r="C99" s="63"/>
      <c r="D99" s="63"/>
      <c r="E99" s="63"/>
      <c r="F99" s="63"/>
      <c r="G99" s="63"/>
      <c r="H99" s="63"/>
      <c r="I99" s="63"/>
      <c r="J99" s="63"/>
      <c r="K99" s="63"/>
      <c r="L99" s="63"/>
      <c r="M99" s="63"/>
      <c r="N99" s="63"/>
      <c r="O99" s="63"/>
      <c r="P99" s="63"/>
      <c r="Q99" s="63"/>
      <c r="R99" s="63"/>
      <c r="S99" s="63"/>
      <c r="T99" s="63"/>
      <c r="U99" s="63"/>
      <c r="V99" s="63"/>
      <c r="W99" s="63"/>
      <c r="X99" s="63"/>
      <c r="Y99" s="63"/>
    </row>
    <row r="100" spans="1:25" x14ac:dyDescent="0.2">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row>
    <row r="101" spans="1:25" x14ac:dyDescent="0.2">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row>
    <row r="102" spans="1:25" x14ac:dyDescent="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row>
    <row r="103" spans="1:25" x14ac:dyDescent="0.2">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row>
    <row r="104" spans="1:25" x14ac:dyDescent="0.2">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row>
    <row r="105" spans="1:25" x14ac:dyDescent="0.2">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row>
    <row r="106" spans="1:25" x14ac:dyDescent="0.2">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row>
    <row r="107" spans="1:25" x14ac:dyDescent="0.2">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row>
    <row r="108" spans="1:25" x14ac:dyDescent="0.2">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row>
    <row r="109" spans="1:25" x14ac:dyDescent="0.2">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row>
    <row r="110" spans="1:25" x14ac:dyDescent="0.2">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row>
    <row r="111" spans="1:25" x14ac:dyDescent="0.2">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row>
    <row r="112" spans="1:25" x14ac:dyDescent="0.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row>
    <row r="113" spans="1:25" x14ac:dyDescent="0.2">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row>
    <row r="114" spans="1:25" x14ac:dyDescent="0.2">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row>
    <row r="115" spans="1:25" x14ac:dyDescent="0.2">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row>
    <row r="116" spans="1:25" x14ac:dyDescent="0.2">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row>
    <row r="117" spans="1:25" x14ac:dyDescent="0.2">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row>
    <row r="118" spans="1:25" x14ac:dyDescent="0.2">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row>
    <row r="119" spans="1:25" x14ac:dyDescent="0.2">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row>
    <row r="120" spans="1:25" x14ac:dyDescent="0.2">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row>
    <row r="121" spans="1:25" x14ac:dyDescent="0.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row>
    <row r="122" spans="1:25" x14ac:dyDescent="0.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row>
    <row r="123" spans="1:25" x14ac:dyDescent="0.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row>
    <row r="124" spans="1:25" x14ac:dyDescent="0.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row>
    <row r="125" spans="1:25" x14ac:dyDescent="0.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row>
    <row r="126" spans="1:25" x14ac:dyDescent="0.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row>
    <row r="127" spans="1:25" x14ac:dyDescent="0.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row>
    <row r="128" spans="1:25" x14ac:dyDescent="0.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row>
    <row r="129" spans="1:25" x14ac:dyDescent="0.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row>
    <row r="130" spans="1:25" x14ac:dyDescent="0.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row>
    <row r="131" spans="1:25" x14ac:dyDescent="0.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row>
    <row r="132" spans="1:25" x14ac:dyDescent="0.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row>
    <row r="133" spans="1:25" x14ac:dyDescent="0.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row>
    <row r="134" spans="1:25" x14ac:dyDescent="0.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row>
    <row r="135" spans="1:25" x14ac:dyDescent="0.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row>
    <row r="136" spans="1:25" x14ac:dyDescent="0.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row>
    <row r="137" spans="1:25" x14ac:dyDescent="0.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row>
    <row r="138" spans="1:25" x14ac:dyDescent="0.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row>
    <row r="139" spans="1:25" x14ac:dyDescent="0.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row>
    <row r="140" spans="1:25" x14ac:dyDescent="0.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row>
    <row r="141" spans="1:25" x14ac:dyDescent="0.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row>
    <row r="142" spans="1:25" x14ac:dyDescent="0.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row>
    <row r="143" spans="1:25" x14ac:dyDescent="0.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row>
    <row r="144" spans="1:25" x14ac:dyDescent="0.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row>
    <row r="145" spans="1:25" x14ac:dyDescent="0.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row>
    <row r="146" spans="1:25" x14ac:dyDescent="0.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row>
    <row r="147" spans="1:25" x14ac:dyDescent="0.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row>
    <row r="148" spans="1:25" x14ac:dyDescent="0.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row>
    <row r="149" spans="1:25" x14ac:dyDescent="0.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row>
    <row r="150" spans="1:25" x14ac:dyDescent="0.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row>
    <row r="151" spans="1:25" x14ac:dyDescent="0.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row>
    <row r="152" spans="1:25" x14ac:dyDescent="0.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row>
    <row r="153" spans="1:25" x14ac:dyDescent="0.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row>
    <row r="154" spans="1:25" x14ac:dyDescent="0.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row>
    <row r="155" spans="1:25" x14ac:dyDescent="0.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row>
    <row r="156" spans="1:25" x14ac:dyDescent="0.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row>
    <row r="157" spans="1:25" x14ac:dyDescent="0.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row>
    <row r="158" spans="1:25" x14ac:dyDescent="0.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row>
    <row r="159" spans="1:25" x14ac:dyDescent="0.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row>
    <row r="160" spans="1:25" x14ac:dyDescent="0.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row>
    <row r="161" spans="1:25" x14ac:dyDescent="0.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row>
    <row r="162" spans="1:25" x14ac:dyDescent="0.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row>
    <row r="163" spans="1:25" x14ac:dyDescent="0.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row>
    <row r="164" spans="1:25" x14ac:dyDescent="0.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row>
    <row r="165" spans="1:25" x14ac:dyDescent="0.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row>
    <row r="166" spans="1:25" x14ac:dyDescent="0.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row>
    <row r="167" spans="1:25" x14ac:dyDescent="0.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row>
    <row r="168" spans="1:25" x14ac:dyDescent="0.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row>
    <row r="169" spans="1:25" x14ac:dyDescent="0.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row>
    <row r="170" spans="1:25" x14ac:dyDescent="0.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row>
    <row r="171" spans="1:25" x14ac:dyDescent="0.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row>
    <row r="172" spans="1:25" x14ac:dyDescent="0.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row>
    <row r="173" spans="1:25" x14ac:dyDescent="0.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row>
    <row r="174" spans="1:25" x14ac:dyDescent="0.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row>
    <row r="175" spans="1:25" x14ac:dyDescent="0.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row>
    <row r="176" spans="1:25" x14ac:dyDescent="0.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row>
    <row r="177" spans="1:25" x14ac:dyDescent="0.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row>
    <row r="178" spans="1:25" x14ac:dyDescent="0.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row>
    <row r="179" spans="1:25" x14ac:dyDescent="0.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row>
    <row r="180" spans="1:25" x14ac:dyDescent="0.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row>
    <row r="181" spans="1:25" x14ac:dyDescent="0.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row>
    <row r="182" spans="1:25" x14ac:dyDescent="0.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row>
    <row r="183" spans="1:25" x14ac:dyDescent="0.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row>
    <row r="184" spans="1:25" x14ac:dyDescent="0.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row>
    <row r="185" spans="1:25" x14ac:dyDescent="0.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row>
    <row r="186" spans="1:25" x14ac:dyDescent="0.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row>
    <row r="187" spans="1:25" x14ac:dyDescent="0.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row>
    <row r="188" spans="1:25" x14ac:dyDescent="0.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row>
    <row r="189" spans="1:25" x14ac:dyDescent="0.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row>
    <row r="190" spans="1:25" x14ac:dyDescent="0.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row>
    <row r="191" spans="1:25" x14ac:dyDescent="0.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row>
    <row r="192" spans="1:25" x14ac:dyDescent="0.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row>
    <row r="193" spans="1:25" x14ac:dyDescent="0.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row>
    <row r="194" spans="1:25" x14ac:dyDescent="0.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row>
    <row r="195" spans="1:25" x14ac:dyDescent="0.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row>
    <row r="196" spans="1:25" x14ac:dyDescent="0.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row>
    <row r="197" spans="1:25" x14ac:dyDescent="0.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row>
    <row r="198" spans="1:25" x14ac:dyDescent="0.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row>
    <row r="199" spans="1:25" x14ac:dyDescent="0.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row>
    <row r="200" spans="1:25" x14ac:dyDescent="0.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row>
    <row r="201" spans="1:25" x14ac:dyDescent="0.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row>
    <row r="202" spans="1:25" x14ac:dyDescent="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row>
    <row r="203" spans="1:25" x14ac:dyDescent="0.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row>
    <row r="204" spans="1:25" x14ac:dyDescent="0.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row>
    <row r="205" spans="1:25" x14ac:dyDescent="0.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row>
    <row r="206" spans="1:25" x14ac:dyDescent="0.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row>
    <row r="207" spans="1:25" x14ac:dyDescent="0.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row>
    <row r="208" spans="1:25" x14ac:dyDescent="0.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row>
    <row r="209" spans="1:25" x14ac:dyDescent="0.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row>
    <row r="210" spans="1:25" x14ac:dyDescent="0.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row>
    <row r="211" spans="1:25" x14ac:dyDescent="0.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row>
    <row r="212" spans="1:25" x14ac:dyDescent="0.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row>
    <row r="213" spans="1:25" x14ac:dyDescent="0.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row>
    <row r="214" spans="1:25" x14ac:dyDescent="0.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row>
    <row r="215" spans="1:25" x14ac:dyDescent="0.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row>
    <row r="216" spans="1:25" x14ac:dyDescent="0.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row>
    <row r="217" spans="1:25" x14ac:dyDescent="0.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row>
    <row r="218" spans="1:25" x14ac:dyDescent="0.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row>
    <row r="219" spans="1:25" x14ac:dyDescent="0.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row>
    <row r="220" spans="1:25" x14ac:dyDescent="0.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row>
    <row r="221" spans="1:25" x14ac:dyDescent="0.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row>
    <row r="222" spans="1:25" x14ac:dyDescent="0.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row>
    <row r="223" spans="1:25" x14ac:dyDescent="0.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row>
    <row r="224" spans="1:25" x14ac:dyDescent="0.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row>
    <row r="225" spans="1:25" x14ac:dyDescent="0.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row>
    <row r="226" spans="1:25" x14ac:dyDescent="0.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row>
    <row r="227" spans="1:25" x14ac:dyDescent="0.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row>
    <row r="228" spans="1:25" x14ac:dyDescent="0.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row>
    <row r="229" spans="1:25" x14ac:dyDescent="0.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row>
    <row r="230" spans="1:25" x14ac:dyDescent="0.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row>
    <row r="231" spans="1:25" x14ac:dyDescent="0.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row>
    <row r="232" spans="1:25" x14ac:dyDescent="0.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row>
    <row r="233" spans="1:25" x14ac:dyDescent="0.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row>
    <row r="234" spans="1:25" x14ac:dyDescent="0.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row>
    <row r="235" spans="1:25" x14ac:dyDescent="0.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row>
    <row r="236" spans="1:25" x14ac:dyDescent="0.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row>
    <row r="237" spans="1:25" x14ac:dyDescent="0.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row>
    <row r="238" spans="1:25" x14ac:dyDescent="0.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row>
    <row r="239" spans="1:25" x14ac:dyDescent="0.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row>
    <row r="240" spans="1:25" x14ac:dyDescent="0.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row>
    <row r="241" spans="1:25" x14ac:dyDescent="0.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row>
    <row r="242" spans="1:25" x14ac:dyDescent="0.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row>
    <row r="243" spans="1:25" x14ac:dyDescent="0.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row>
    <row r="244" spans="1:25" x14ac:dyDescent="0.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row>
    <row r="245" spans="1:25" x14ac:dyDescent="0.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row>
    <row r="246" spans="1:25" x14ac:dyDescent="0.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row>
    <row r="247" spans="1:25" x14ac:dyDescent="0.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row>
    <row r="248" spans="1:25" x14ac:dyDescent="0.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row>
    <row r="249" spans="1:25" x14ac:dyDescent="0.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row>
    <row r="250" spans="1:25" x14ac:dyDescent="0.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row>
    <row r="251" spans="1:25" x14ac:dyDescent="0.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row>
    <row r="252" spans="1:25" x14ac:dyDescent="0.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row>
    <row r="253" spans="1:25" x14ac:dyDescent="0.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row>
    <row r="254" spans="1:25" x14ac:dyDescent="0.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row>
    <row r="255" spans="1:25" x14ac:dyDescent="0.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row>
    <row r="256" spans="1:25" x14ac:dyDescent="0.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row>
    <row r="257" spans="1:25" x14ac:dyDescent="0.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row>
    <row r="258" spans="1:25" x14ac:dyDescent="0.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row>
    <row r="259" spans="1:25" x14ac:dyDescent="0.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row>
    <row r="260" spans="1:25" x14ac:dyDescent="0.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row>
    <row r="261" spans="1:25" x14ac:dyDescent="0.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row>
    <row r="262" spans="1:25" x14ac:dyDescent="0.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row>
    <row r="263" spans="1:25" x14ac:dyDescent="0.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row>
    <row r="264" spans="1:25" x14ac:dyDescent="0.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row>
    <row r="265" spans="1:25" x14ac:dyDescent="0.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row>
    <row r="266" spans="1:25" x14ac:dyDescent="0.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row>
    <row r="267" spans="1:25" x14ac:dyDescent="0.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row>
    <row r="268" spans="1:25" x14ac:dyDescent="0.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row>
    <row r="269" spans="1:25" x14ac:dyDescent="0.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row>
    <row r="270" spans="1:25" x14ac:dyDescent="0.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row>
    <row r="271" spans="1:25" x14ac:dyDescent="0.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row>
    <row r="272" spans="1:25" x14ac:dyDescent="0.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row>
    <row r="273" spans="1:25" x14ac:dyDescent="0.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row>
    <row r="274" spans="1:25" x14ac:dyDescent="0.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row>
    <row r="275" spans="1:25" x14ac:dyDescent="0.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row>
    <row r="276" spans="1:25" x14ac:dyDescent="0.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row>
    <row r="277" spans="1:25" x14ac:dyDescent="0.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row>
    <row r="278" spans="1:25" x14ac:dyDescent="0.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row>
    <row r="279" spans="1:25" x14ac:dyDescent="0.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row>
    <row r="280" spans="1:25" x14ac:dyDescent="0.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row>
    <row r="281" spans="1:25" x14ac:dyDescent="0.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row>
    <row r="282" spans="1:25" x14ac:dyDescent="0.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row>
    <row r="283" spans="1:25" x14ac:dyDescent="0.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row>
    <row r="284" spans="1:25" x14ac:dyDescent="0.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row>
    <row r="285" spans="1:25" x14ac:dyDescent="0.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row>
    <row r="286" spans="1:25" x14ac:dyDescent="0.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row>
    <row r="287" spans="1:25" x14ac:dyDescent="0.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row>
    <row r="288" spans="1:25" x14ac:dyDescent="0.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row>
    <row r="289" spans="1:25" x14ac:dyDescent="0.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row>
    <row r="290" spans="1:25" x14ac:dyDescent="0.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row>
    <row r="291" spans="1:25" x14ac:dyDescent="0.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row>
    <row r="292" spans="1:25" x14ac:dyDescent="0.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row>
    <row r="293" spans="1:25" x14ac:dyDescent="0.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row>
    <row r="294" spans="1:25" x14ac:dyDescent="0.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row>
    <row r="295" spans="1:25" x14ac:dyDescent="0.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row>
    <row r="296" spans="1:25" x14ac:dyDescent="0.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row>
    <row r="297" spans="1:25" x14ac:dyDescent="0.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row>
    <row r="298" spans="1:25" x14ac:dyDescent="0.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row>
    <row r="299" spans="1:25" x14ac:dyDescent="0.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row>
    <row r="300" spans="1:25" x14ac:dyDescent="0.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row>
    <row r="301" spans="1:25" x14ac:dyDescent="0.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row>
    <row r="302" spans="1:25" x14ac:dyDescent="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row>
    <row r="303" spans="1:25" x14ac:dyDescent="0.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row>
    <row r="304" spans="1:25" x14ac:dyDescent="0.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row>
    <row r="305" spans="1:25" x14ac:dyDescent="0.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row>
    <row r="306" spans="1:25" x14ac:dyDescent="0.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row>
    <row r="307" spans="1:25" x14ac:dyDescent="0.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row>
    <row r="308" spans="1:25" x14ac:dyDescent="0.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row>
    <row r="309" spans="1:25" x14ac:dyDescent="0.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row>
    <row r="310" spans="1:25" x14ac:dyDescent="0.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row>
    <row r="311" spans="1:25" x14ac:dyDescent="0.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row>
    <row r="312" spans="1:25" x14ac:dyDescent="0.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row>
    <row r="313" spans="1:25" x14ac:dyDescent="0.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row>
    <row r="314" spans="1:25" x14ac:dyDescent="0.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row>
    <row r="315" spans="1:25" x14ac:dyDescent="0.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row>
    <row r="316" spans="1:25" x14ac:dyDescent="0.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row>
    <row r="317" spans="1:25" x14ac:dyDescent="0.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row>
    <row r="318" spans="1:25" x14ac:dyDescent="0.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row>
    <row r="319" spans="1:25" x14ac:dyDescent="0.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row>
    <row r="320" spans="1:25" x14ac:dyDescent="0.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row>
    <row r="321" spans="1:25" x14ac:dyDescent="0.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row>
    <row r="322" spans="1:25" x14ac:dyDescent="0.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row>
    <row r="323" spans="1:25" x14ac:dyDescent="0.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row>
    <row r="324" spans="1:25" x14ac:dyDescent="0.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row>
    <row r="325" spans="1:25" x14ac:dyDescent="0.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row>
    <row r="326" spans="1:25" x14ac:dyDescent="0.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row>
    <row r="327" spans="1:25" x14ac:dyDescent="0.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row>
    <row r="328" spans="1:25" x14ac:dyDescent="0.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row>
    <row r="329" spans="1:25" x14ac:dyDescent="0.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row>
    <row r="330" spans="1:25" x14ac:dyDescent="0.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row>
    <row r="331" spans="1:25" x14ac:dyDescent="0.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row>
    <row r="332" spans="1:25" x14ac:dyDescent="0.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row>
    <row r="333" spans="1:25" x14ac:dyDescent="0.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row>
    <row r="334" spans="1:25" x14ac:dyDescent="0.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row>
    <row r="335" spans="1:25" x14ac:dyDescent="0.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row>
    <row r="336" spans="1:25" x14ac:dyDescent="0.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row>
    <row r="337" spans="1:25" x14ac:dyDescent="0.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row>
    <row r="338" spans="1:25" x14ac:dyDescent="0.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row>
    <row r="339" spans="1:25" x14ac:dyDescent="0.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row>
    <row r="340" spans="1:25" x14ac:dyDescent="0.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row>
    <row r="341" spans="1:25" x14ac:dyDescent="0.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row>
    <row r="342" spans="1:25" x14ac:dyDescent="0.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row>
    <row r="343" spans="1:25" x14ac:dyDescent="0.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row>
    <row r="344" spans="1:25" x14ac:dyDescent="0.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row>
    <row r="345" spans="1:25" x14ac:dyDescent="0.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row>
    <row r="346" spans="1:25" x14ac:dyDescent="0.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row>
    <row r="347" spans="1:25" x14ac:dyDescent="0.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row>
    <row r="348" spans="1:25" x14ac:dyDescent="0.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row>
    <row r="349" spans="1:25" x14ac:dyDescent="0.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row>
    <row r="350" spans="1:25" x14ac:dyDescent="0.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row>
    <row r="351" spans="1:25" x14ac:dyDescent="0.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row>
    <row r="352" spans="1:25" x14ac:dyDescent="0.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row>
    <row r="353" spans="1:25" x14ac:dyDescent="0.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row>
    <row r="354" spans="1:25" x14ac:dyDescent="0.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row>
    <row r="355" spans="1:25" x14ac:dyDescent="0.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row>
    <row r="356" spans="1:25" x14ac:dyDescent="0.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row>
    <row r="357" spans="1:25" x14ac:dyDescent="0.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row>
    <row r="358" spans="1:25" x14ac:dyDescent="0.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row>
    <row r="359" spans="1:25" x14ac:dyDescent="0.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row>
    <row r="360" spans="1:25" x14ac:dyDescent="0.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row>
    <row r="361" spans="1:25" x14ac:dyDescent="0.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row>
    <row r="362" spans="1:25" x14ac:dyDescent="0.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row>
    <row r="363" spans="1:25" x14ac:dyDescent="0.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row>
    <row r="364" spans="1:25" x14ac:dyDescent="0.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row>
    <row r="365" spans="1:25" x14ac:dyDescent="0.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row>
    <row r="366" spans="1:25" x14ac:dyDescent="0.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row>
    <row r="367" spans="1:25" x14ac:dyDescent="0.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row>
    <row r="368" spans="1:25" x14ac:dyDescent="0.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row>
    <row r="369" spans="1:25" x14ac:dyDescent="0.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row>
    <row r="370" spans="1:25" x14ac:dyDescent="0.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row>
    <row r="371" spans="1:25" x14ac:dyDescent="0.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row>
    <row r="372" spans="1:25" x14ac:dyDescent="0.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row>
    <row r="373" spans="1:25" x14ac:dyDescent="0.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row>
    <row r="374" spans="1:25" x14ac:dyDescent="0.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row>
    <row r="375" spans="1:25" x14ac:dyDescent="0.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row>
    <row r="376" spans="1:25" x14ac:dyDescent="0.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row>
    <row r="377" spans="1:25" x14ac:dyDescent="0.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row>
    <row r="378" spans="1:25" x14ac:dyDescent="0.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row>
    <row r="379" spans="1:25" x14ac:dyDescent="0.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row>
    <row r="380" spans="1:25" x14ac:dyDescent="0.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row>
    <row r="381" spans="1:25" x14ac:dyDescent="0.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row>
    <row r="382" spans="1:25" x14ac:dyDescent="0.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row>
    <row r="383" spans="1:25" x14ac:dyDescent="0.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row>
    <row r="384" spans="1:25" x14ac:dyDescent="0.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row>
    <row r="385" spans="1:25" x14ac:dyDescent="0.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row>
    <row r="386" spans="1:25" x14ac:dyDescent="0.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row>
    <row r="387" spans="1:25" x14ac:dyDescent="0.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row>
    <row r="388" spans="1:25" x14ac:dyDescent="0.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row>
    <row r="389" spans="1:25" x14ac:dyDescent="0.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row>
    <row r="390" spans="1:25" x14ac:dyDescent="0.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row>
    <row r="391" spans="1:25" x14ac:dyDescent="0.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row>
    <row r="392" spans="1:25" x14ac:dyDescent="0.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row>
    <row r="393" spans="1:25" x14ac:dyDescent="0.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row>
    <row r="394" spans="1:25" x14ac:dyDescent="0.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row>
    <row r="395" spans="1:25" x14ac:dyDescent="0.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row>
    <row r="396" spans="1:25" x14ac:dyDescent="0.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row>
    <row r="397" spans="1:25" x14ac:dyDescent="0.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row>
    <row r="398" spans="1:25" x14ac:dyDescent="0.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row>
    <row r="399" spans="1:25" x14ac:dyDescent="0.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row>
    <row r="400" spans="1:25" x14ac:dyDescent="0.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row>
    <row r="401" spans="1:25" x14ac:dyDescent="0.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row>
    <row r="402" spans="1:25" x14ac:dyDescent="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row>
    <row r="403" spans="1:25" x14ac:dyDescent="0.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row>
    <row r="404" spans="1:25" x14ac:dyDescent="0.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row>
    <row r="405" spans="1:25" x14ac:dyDescent="0.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row>
    <row r="406" spans="1:25" x14ac:dyDescent="0.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row>
    <row r="407" spans="1:25" x14ac:dyDescent="0.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row>
    <row r="408" spans="1:25" x14ac:dyDescent="0.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row>
    <row r="409" spans="1:25" x14ac:dyDescent="0.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row>
    <row r="410" spans="1:25" x14ac:dyDescent="0.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row>
    <row r="411" spans="1:25" x14ac:dyDescent="0.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row>
    <row r="412" spans="1:25" x14ac:dyDescent="0.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row>
    <row r="413" spans="1:25" x14ac:dyDescent="0.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row>
    <row r="414" spans="1:25" x14ac:dyDescent="0.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row>
    <row r="415" spans="1:25" x14ac:dyDescent="0.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row>
    <row r="416" spans="1:25" x14ac:dyDescent="0.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row>
    <row r="417" spans="1:25" x14ac:dyDescent="0.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row>
    <row r="418" spans="1:25" x14ac:dyDescent="0.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row>
    <row r="419" spans="1:25" x14ac:dyDescent="0.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row>
    <row r="420" spans="1:25" x14ac:dyDescent="0.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row>
    <row r="421" spans="1:25" x14ac:dyDescent="0.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row>
    <row r="422" spans="1:25" x14ac:dyDescent="0.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row>
    <row r="423" spans="1:25" x14ac:dyDescent="0.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row>
    <row r="424" spans="1:25" x14ac:dyDescent="0.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row>
    <row r="425" spans="1:25" x14ac:dyDescent="0.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row>
    <row r="426" spans="1:25" x14ac:dyDescent="0.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row>
    <row r="427" spans="1:25" x14ac:dyDescent="0.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row>
    <row r="428" spans="1:25" x14ac:dyDescent="0.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row>
    <row r="429" spans="1:25" x14ac:dyDescent="0.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row>
    <row r="430" spans="1:25" x14ac:dyDescent="0.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row>
    <row r="431" spans="1:25" x14ac:dyDescent="0.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row>
    <row r="432" spans="1:25" x14ac:dyDescent="0.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row>
    <row r="433" spans="1:25" x14ac:dyDescent="0.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row>
    <row r="434" spans="1:25" x14ac:dyDescent="0.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row>
    <row r="435" spans="1:25" x14ac:dyDescent="0.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row>
    <row r="436" spans="1:25" x14ac:dyDescent="0.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row>
    <row r="437" spans="1:25" x14ac:dyDescent="0.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row>
    <row r="438" spans="1:25" x14ac:dyDescent="0.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row>
    <row r="439" spans="1:25" x14ac:dyDescent="0.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row>
    <row r="440" spans="1:25" x14ac:dyDescent="0.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row>
    <row r="441" spans="1:25" x14ac:dyDescent="0.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row>
    <row r="442" spans="1:25" x14ac:dyDescent="0.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row>
    <row r="443" spans="1:25" x14ac:dyDescent="0.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row>
    <row r="444" spans="1:25" x14ac:dyDescent="0.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row>
    <row r="445" spans="1:25" x14ac:dyDescent="0.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row>
    <row r="446" spans="1:25" x14ac:dyDescent="0.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row>
    <row r="447" spans="1:25" x14ac:dyDescent="0.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row>
    <row r="448" spans="1:25" x14ac:dyDescent="0.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row>
    <row r="449" spans="1:25" x14ac:dyDescent="0.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row>
    <row r="450" spans="1:25" x14ac:dyDescent="0.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row>
    <row r="451" spans="1:25" x14ac:dyDescent="0.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row>
    <row r="452" spans="1:25" x14ac:dyDescent="0.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row>
    <row r="453" spans="1:25" x14ac:dyDescent="0.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row>
    <row r="454" spans="1:25" x14ac:dyDescent="0.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row>
    <row r="455" spans="1:25" x14ac:dyDescent="0.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row>
    <row r="456" spans="1:25" x14ac:dyDescent="0.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row>
    <row r="457" spans="1:25" x14ac:dyDescent="0.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row>
    <row r="458" spans="1:25" x14ac:dyDescent="0.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row>
    <row r="459" spans="1:25" x14ac:dyDescent="0.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row>
    <row r="460" spans="1:25" x14ac:dyDescent="0.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row>
    <row r="461" spans="1:25" x14ac:dyDescent="0.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row>
    <row r="462" spans="1:25" x14ac:dyDescent="0.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row>
    <row r="463" spans="1:25" x14ac:dyDescent="0.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row>
    <row r="464" spans="1:25" x14ac:dyDescent="0.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row>
    <row r="465" spans="1:25" x14ac:dyDescent="0.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row>
    <row r="466" spans="1:25" x14ac:dyDescent="0.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row>
    <row r="467" spans="1:25" x14ac:dyDescent="0.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row>
    <row r="468" spans="1:25" x14ac:dyDescent="0.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row>
    <row r="469" spans="1:25" x14ac:dyDescent="0.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row>
    <row r="470" spans="1:25" x14ac:dyDescent="0.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row>
    <row r="471" spans="1:25" x14ac:dyDescent="0.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row>
    <row r="472" spans="1:25" x14ac:dyDescent="0.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row>
    <row r="473" spans="1:25" x14ac:dyDescent="0.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row>
    <row r="474" spans="1:25" x14ac:dyDescent="0.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row>
    <row r="475" spans="1:25" x14ac:dyDescent="0.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row>
    <row r="476" spans="1:25" x14ac:dyDescent="0.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row>
    <row r="477" spans="1:25" x14ac:dyDescent="0.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row>
    <row r="478" spans="1:25" x14ac:dyDescent="0.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row>
    <row r="479" spans="1:25" x14ac:dyDescent="0.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row>
    <row r="480" spans="1:25" x14ac:dyDescent="0.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row>
    <row r="481" spans="1:25" x14ac:dyDescent="0.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row>
    <row r="482" spans="1:25" x14ac:dyDescent="0.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row>
    <row r="483" spans="1:25" x14ac:dyDescent="0.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row>
    <row r="484" spans="1:25" x14ac:dyDescent="0.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row>
    <row r="485" spans="1:25" x14ac:dyDescent="0.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row>
    <row r="486" spans="1:25" x14ac:dyDescent="0.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row>
    <row r="487" spans="1:25" x14ac:dyDescent="0.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row>
    <row r="488" spans="1:25" x14ac:dyDescent="0.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row>
    <row r="489" spans="1:25" x14ac:dyDescent="0.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row>
    <row r="490" spans="1:25" x14ac:dyDescent="0.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row>
    <row r="491" spans="1:25" x14ac:dyDescent="0.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row>
    <row r="492" spans="1:25" x14ac:dyDescent="0.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row>
    <row r="493" spans="1:25" x14ac:dyDescent="0.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row>
    <row r="494" spans="1:25" x14ac:dyDescent="0.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row>
    <row r="495" spans="1:25" x14ac:dyDescent="0.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row>
    <row r="496" spans="1:25" x14ac:dyDescent="0.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row>
    <row r="497" spans="1:25" x14ac:dyDescent="0.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row>
    <row r="498" spans="1:25" x14ac:dyDescent="0.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row>
    <row r="499" spans="1:25" x14ac:dyDescent="0.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row>
    <row r="500" spans="1:25" x14ac:dyDescent="0.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row>
    <row r="501" spans="1:25" x14ac:dyDescent="0.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row>
    <row r="502" spans="1:25" x14ac:dyDescent="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row>
    <row r="503" spans="1:25" x14ac:dyDescent="0.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row>
    <row r="504" spans="1:25" x14ac:dyDescent="0.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row>
    <row r="505" spans="1:25" x14ac:dyDescent="0.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row>
    <row r="506" spans="1:25" x14ac:dyDescent="0.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row>
    <row r="507" spans="1:25" x14ac:dyDescent="0.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row>
    <row r="508" spans="1:25" x14ac:dyDescent="0.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row>
    <row r="509" spans="1:25" x14ac:dyDescent="0.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row>
    <row r="510" spans="1:25" x14ac:dyDescent="0.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row>
    <row r="511" spans="1:25" x14ac:dyDescent="0.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row>
    <row r="512" spans="1:25" x14ac:dyDescent="0.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row>
    <row r="513" spans="1:25" x14ac:dyDescent="0.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row>
    <row r="514" spans="1:25" x14ac:dyDescent="0.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row>
    <row r="515" spans="1:25" x14ac:dyDescent="0.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row>
    <row r="516" spans="1:25" x14ac:dyDescent="0.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row>
    <row r="517" spans="1:25" x14ac:dyDescent="0.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row>
    <row r="518" spans="1:25" x14ac:dyDescent="0.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row>
    <row r="519" spans="1:25" x14ac:dyDescent="0.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row>
    <row r="520" spans="1:25" x14ac:dyDescent="0.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row>
    <row r="521" spans="1:25" x14ac:dyDescent="0.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row>
    <row r="522" spans="1:25" x14ac:dyDescent="0.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row>
    <row r="523" spans="1:25" x14ac:dyDescent="0.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row>
    <row r="524" spans="1:25" x14ac:dyDescent="0.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row>
    <row r="525" spans="1:25" x14ac:dyDescent="0.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row>
    <row r="526" spans="1:25" x14ac:dyDescent="0.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row>
    <row r="527" spans="1:25" x14ac:dyDescent="0.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row>
    <row r="528" spans="1:25" x14ac:dyDescent="0.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row>
    <row r="529" spans="1:25" x14ac:dyDescent="0.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row>
    <row r="530" spans="1:25" x14ac:dyDescent="0.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row>
    <row r="531" spans="1:25" x14ac:dyDescent="0.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row>
    <row r="532" spans="1:25" x14ac:dyDescent="0.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row>
    <row r="533" spans="1:25" x14ac:dyDescent="0.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row>
    <row r="534" spans="1:25" x14ac:dyDescent="0.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row>
    <row r="535" spans="1:25" x14ac:dyDescent="0.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row>
    <row r="536" spans="1:25" x14ac:dyDescent="0.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row>
    <row r="537" spans="1:25" x14ac:dyDescent="0.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row>
    <row r="538" spans="1:25" x14ac:dyDescent="0.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row>
    <row r="539" spans="1:25" x14ac:dyDescent="0.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row>
    <row r="540" spans="1:25" x14ac:dyDescent="0.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row>
    <row r="541" spans="1:25" x14ac:dyDescent="0.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row>
    <row r="542" spans="1:25" x14ac:dyDescent="0.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row>
    <row r="543" spans="1:25" x14ac:dyDescent="0.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row>
    <row r="544" spans="1:25" x14ac:dyDescent="0.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row>
    <row r="545" spans="1:25" x14ac:dyDescent="0.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row>
    <row r="546" spans="1:25" x14ac:dyDescent="0.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row>
    <row r="547" spans="1:25" x14ac:dyDescent="0.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row>
    <row r="548" spans="1:25" x14ac:dyDescent="0.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row>
    <row r="549" spans="1:25" x14ac:dyDescent="0.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row>
    <row r="550" spans="1:25" x14ac:dyDescent="0.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row>
    <row r="551" spans="1:25" x14ac:dyDescent="0.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row>
    <row r="552" spans="1:25" x14ac:dyDescent="0.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row>
    <row r="553" spans="1:25" x14ac:dyDescent="0.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row>
    <row r="554" spans="1:25" x14ac:dyDescent="0.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row>
    <row r="555" spans="1:25" x14ac:dyDescent="0.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row>
    <row r="556" spans="1:25" x14ac:dyDescent="0.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row>
    <row r="557" spans="1:25" x14ac:dyDescent="0.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row>
    <row r="558" spans="1:25" x14ac:dyDescent="0.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row>
    <row r="559" spans="1:25" x14ac:dyDescent="0.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row>
    <row r="560" spans="1:25" x14ac:dyDescent="0.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row>
    <row r="561" spans="1:25" x14ac:dyDescent="0.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row>
    <row r="562" spans="1:25" x14ac:dyDescent="0.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row>
    <row r="563" spans="1:25" x14ac:dyDescent="0.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row>
    <row r="564" spans="1:25" x14ac:dyDescent="0.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row>
    <row r="565" spans="1:25" x14ac:dyDescent="0.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row>
    <row r="566" spans="1:25" x14ac:dyDescent="0.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row>
    <row r="567" spans="1:25" x14ac:dyDescent="0.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row>
    <row r="568" spans="1:25" x14ac:dyDescent="0.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row>
    <row r="569" spans="1:25" x14ac:dyDescent="0.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row>
    <row r="570" spans="1:25" x14ac:dyDescent="0.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row>
    <row r="571" spans="1:25" x14ac:dyDescent="0.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row>
    <row r="572" spans="1:25" x14ac:dyDescent="0.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row>
    <row r="573" spans="1:25" x14ac:dyDescent="0.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row>
    <row r="574" spans="1:25" x14ac:dyDescent="0.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row>
    <row r="575" spans="1:25" x14ac:dyDescent="0.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row>
    <row r="576" spans="1:25" x14ac:dyDescent="0.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row>
    <row r="577" spans="1:25" x14ac:dyDescent="0.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row>
    <row r="578" spans="1:25" x14ac:dyDescent="0.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row>
    <row r="579" spans="1:25" x14ac:dyDescent="0.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row>
    <row r="580" spans="1:25" x14ac:dyDescent="0.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row>
    <row r="581" spans="1:25" x14ac:dyDescent="0.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row>
    <row r="582" spans="1:25" x14ac:dyDescent="0.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row>
    <row r="583" spans="1:25" x14ac:dyDescent="0.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row>
    <row r="584" spans="1:25" x14ac:dyDescent="0.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row>
    <row r="585" spans="1:25" x14ac:dyDescent="0.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row>
    <row r="586" spans="1:25" x14ac:dyDescent="0.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row>
    <row r="587" spans="1:25" x14ac:dyDescent="0.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row>
    <row r="588" spans="1:25" x14ac:dyDescent="0.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row>
    <row r="589" spans="1:25" x14ac:dyDescent="0.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row>
    <row r="590" spans="1:25" x14ac:dyDescent="0.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row>
    <row r="591" spans="1:25" x14ac:dyDescent="0.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row>
    <row r="592" spans="1:25" x14ac:dyDescent="0.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row>
    <row r="593" spans="1:25" x14ac:dyDescent="0.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row>
    <row r="594" spans="1:25" x14ac:dyDescent="0.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row>
    <row r="595" spans="1:25" x14ac:dyDescent="0.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row>
    <row r="596" spans="1:25" x14ac:dyDescent="0.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row>
    <row r="597" spans="1:25" x14ac:dyDescent="0.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row>
    <row r="598" spans="1:25" x14ac:dyDescent="0.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row>
    <row r="599" spans="1:25" x14ac:dyDescent="0.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row>
    <row r="600" spans="1:25" x14ac:dyDescent="0.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row>
    <row r="601" spans="1:25" x14ac:dyDescent="0.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row>
    <row r="602" spans="1:25" x14ac:dyDescent="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row>
    <row r="603" spans="1:25" x14ac:dyDescent="0.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row>
    <row r="604" spans="1:25" x14ac:dyDescent="0.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row>
    <row r="605" spans="1:25" x14ac:dyDescent="0.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row>
    <row r="606" spans="1:25" x14ac:dyDescent="0.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row>
    <row r="607" spans="1:25" x14ac:dyDescent="0.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row>
    <row r="608" spans="1:25" x14ac:dyDescent="0.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row>
    <row r="609" spans="1:25" x14ac:dyDescent="0.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row>
    <row r="610" spans="1:25" x14ac:dyDescent="0.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row>
    <row r="611" spans="1:25" x14ac:dyDescent="0.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row>
    <row r="612" spans="1:25" x14ac:dyDescent="0.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row>
    <row r="613" spans="1:25" x14ac:dyDescent="0.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row>
    <row r="614" spans="1:25" x14ac:dyDescent="0.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row>
    <row r="615" spans="1:25" x14ac:dyDescent="0.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row>
    <row r="616" spans="1:25" x14ac:dyDescent="0.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row>
    <row r="617" spans="1:25" x14ac:dyDescent="0.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row>
    <row r="618" spans="1:25" x14ac:dyDescent="0.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row>
    <row r="619" spans="1:25" x14ac:dyDescent="0.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row>
    <row r="620" spans="1:25" x14ac:dyDescent="0.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row>
    <row r="621" spans="1:25" x14ac:dyDescent="0.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row>
    <row r="622" spans="1:25" x14ac:dyDescent="0.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row>
    <row r="623" spans="1:25" x14ac:dyDescent="0.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row>
    <row r="624" spans="1:25" x14ac:dyDescent="0.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row>
    <row r="625" spans="1:25" x14ac:dyDescent="0.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row>
    <row r="626" spans="1:25" x14ac:dyDescent="0.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row>
    <row r="627" spans="1:25" x14ac:dyDescent="0.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row>
    <row r="628" spans="1:25" x14ac:dyDescent="0.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row>
    <row r="629" spans="1:25" x14ac:dyDescent="0.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row>
    <row r="630" spans="1:25" x14ac:dyDescent="0.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row>
    <row r="631" spans="1:25" x14ac:dyDescent="0.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row>
    <row r="632" spans="1:25" x14ac:dyDescent="0.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row>
    <row r="633" spans="1:25" x14ac:dyDescent="0.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row>
    <row r="634" spans="1:25" x14ac:dyDescent="0.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row>
    <row r="635" spans="1:25" x14ac:dyDescent="0.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row>
    <row r="636" spans="1:25" x14ac:dyDescent="0.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row>
    <row r="637" spans="1:25" x14ac:dyDescent="0.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row>
    <row r="638" spans="1:25" x14ac:dyDescent="0.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row>
    <row r="639" spans="1:25" x14ac:dyDescent="0.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row>
    <row r="640" spans="1:25" x14ac:dyDescent="0.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row>
    <row r="641" spans="1:25" x14ac:dyDescent="0.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row>
    <row r="642" spans="1:25" x14ac:dyDescent="0.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row>
    <row r="643" spans="1:25" x14ac:dyDescent="0.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row>
    <row r="644" spans="1:25" x14ac:dyDescent="0.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row>
    <row r="645" spans="1:25" x14ac:dyDescent="0.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row>
    <row r="646" spans="1:25" x14ac:dyDescent="0.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row>
    <row r="647" spans="1:25" x14ac:dyDescent="0.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row>
    <row r="648" spans="1:25" x14ac:dyDescent="0.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row>
    <row r="649" spans="1:25" x14ac:dyDescent="0.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row>
    <row r="650" spans="1:25" x14ac:dyDescent="0.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row>
    <row r="651" spans="1:25" x14ac:dyDescent="0.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row>
    <row r="652" spans="1:25" x14ac:dyDescent="0.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row>
    <row r="653" spans="1:25" x14ac:dyDescent="0.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row>
    <row r="654" spans="1:25" x14ac:dyDescent="0.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row>
    <row r="655" spans="1:25" x14ac:dyDescent="0.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row>
    <row r="656" spans="1:25" x14ac:dyDescent="0.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row>
    <row r="657" spans="1:25" x14ac:dyDescent="0.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row>
    <row r="658" spans="1:25" x14ac:dyDescent="0.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row>
    <row r="659" spans="1:25" x14ac:dyDescent="0.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row>
    <row r="660" spans="1:25" x14ac:dyDescent="0.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row>
    <row r="661" spans="1:25" x14ac:dyDescent="0.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row>
    <row r="662" spans="1:25" x14ac:dyDescent="0.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row>
    <row r="663" spans="1:25" x14ac:dyDescent="0.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row>
    <row r="664" spans="1:25" x14ac:dyDescent="0.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row>
    <row r="665" spans="1:25" x14ac:dyDescent="0.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row>
    <row r="666" spans="1:25" x14ac:dyDescent="0.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row>
    <row r="667" spans="1:25" x14ac:dyDescent="0.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row>
    <row r="668" spans="1:25" x14ac:dyDescent="0.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row>
    <row r="669" spans="1:25" x14ac:dyDescent="0.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row>
    <row r="670" spans="1:25" x14ac:dyDescent="0.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row>
    <row r="671" spans="1:25" x14ac:dyDescent="0.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row>
    <row r="672" spans="1:25" x14ac:dyDescent="0.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row>
    <row r="673" spans="1:25" x14ac:dyDescent="0.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row>
    <row r="674" spans="1:25" x14ac:dyDescent="0.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row>
    <row r="675" spans="1:25" x14ac:dyDescent="0.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row>
    <row r="676" spans="1:25" x14ac:dyDescent="0.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row>
    <row r="677" spans="1:25" x14ac:dyDescent="0.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row>
    <row r="678" spans="1:25" x14ac:dyDescent="0.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row>
    <row r="679" spans="1:25" x14ac:dyDescent="0.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row>
    <row r="680" spans="1:25" x14ac:dyDescent="0.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row>
    <row r="681" spans="1:25" x14ac:dyDescent="0.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row>
    <row r="682" spans="1:25" x14ac:dyDescent="0.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row>
    <row r="683" spans="1:25" x14ac:dyDescent="0.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row>
    <row r="684" spans="1:25" x14ac:dyDescent="0.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row>
    <row r="685" spans="1:25" x14ac:dyDescent="0.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row>
    <row r="686" spans="1:25" x14ac:dyDescent="0.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row>
    <row r="687" spans="1:25" x14ac:dyDescent="0.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row>
    <row r="688" spans="1:25" x14ac:dyDescent="0.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row>
    <row r="689" spans="1:25" x14ac:dyDescent="0.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row>
    <row r="690" spans="1:25" x14ac:dyDescent="0.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row>
    <row r="691" spans="1:25" x14ac:dyDescent="0.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row>
    <row r="692" spans="1:25" x14ac:dyDescent="0.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row>
    <row r="693" spans="1:25" x14ac:dyDescent="0.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row>
    <row r="694" spans="1:25" x14ac:dyDescent="0.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row>
    <row r="695" spans="1:25" x14ac:dyDescent="0.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row>
    <row r="696" spans="1:25" x14ac:dyDescent="0.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row>
    <row r="697" spans="1:25" x14ac:dyDescent="0.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row>
    <row r="698" spans="1:25" x14ac:dyDescent="0.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row>
    <row r="699" spans="1:25" x14ac:dyDescent="0.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row>
    <row r="700" spans="1:25" x14ac:dyDescent="0.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row>
    <row r="701" spans="1:25" x14ac:dyDescent="0.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row>
    <row r="702" spans="1:25" x14ac:dyDescent="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row>
    <row r="703" spans="1:25" x14ac:dyDescent="0.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row>
    <row r="704" spans="1:25" x14ac:dyDescent="0.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row>
    <row r="705" spans="1:25" x14ac:dyDescent="0.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row>
    <row r="706" spans="1:25" x14ac:dyDescent="0.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row>
    <row r="707" spans="1:25" x14ac:dyDescent="0.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row>
    <row r="708" spans="1:25" x14ac:dyDescent="0.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row>
    <row r="709" spans="1:25" x14ac:dyDescent="0.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row>
    <row r="710" spans="1:25" x14ac:dyDescent="0.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row>
    <row r="711" spans="1:25" x14ac:dyDescent="0.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row>
    <row r="712" spans="1:25" x14ac:dyDescent="0.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row>
    <row r="713" spans="1:25" x14ac:dyDescent="0.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row>
    <row r="714" spans="1:25" x14ac:dyDescent="0.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row>
    <row r="715" spans="1:25" x14ac:dyDescent="0.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row>
    <row r="716" spans="1:25" x14ac:dyDescent="0.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row>
    <row r="717" spans="1:25" x14ac:dyDescent="0.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row>
    <row r="718" spans="1:25" x14ac:dyDescent="0.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row>
    <row r="719" spans="1:25" x14ac:dyDescent="0.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row>
    <row r="720" spans="1:25" x14ac:dyDescent="0.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row>
    <row r="721" spans="1:25" x14ac:dyDescent="0.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row>
    <row r="722" spans="1:25" x14ac:dyDescent="0.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row>
    <row r="723" spans="1:25" x14ac:dyDescent="0.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row>
    <row r="724" spans="1:25" x14ac:dyDescent="0.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row>
    <row r="725" spans="1:25" x14ac:dyDescent="0.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row>
    <row r="726" spans="1:25" x14ac:dyDescent="0.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row>
    <row r="727" spans="1:25" x14ac:dyDescent="0.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row>
    <row r="728" spans="1:25" x14ac:dyDescent="0.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row>
    <row r="729" spans="1:25" x14ac:dyDescent="0.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row>
    <row r="730" spans="1:25" x14ac:dyDescent="0.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row>
    <row r="731" spans="1:25" x14ac:dyDescent="0.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row>
    <row r="732" spans="1:25" x14ac:dyDescent="0.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row>
    <row r="733" spans="1:25" x14ac:dyDescent="0.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row>
    <row r="734" spans="1:25" x14ac:dyDescent="0.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row>
    <row r="735" spans="1:25" x14ac:dyDescent="0.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row>
    <row r="736" spans="1:25" x14ac:dyDescent="0.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row>
    <row r="737" spans="1:25" x14ac:dyDescent="0.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row>
    <row r="738" spans="1:25" x14ac:dyDescent="0.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row>
    <row r="739" spans="1:25" x14ac:dyDescent="0.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row>
    <row r="740" spans="1:25" x14ac:dyDescent="0.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row>
    <row r="741" spans="1:25" x14ac:dyDescent="0.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row>
    <row r="742" spans="1:25" x14ac:dyDescent="0.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row>
    <row r="743" spans="1:25" x14ac:dyDescent="0.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row>
    <row r="744" spans="1:25" x14ac:dyDescent="0.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row>
    <row r="745" spans="1:25" x14ac:dyDescent="0.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row>
    <row r="746" spans="1:25" x14ac:dyDescent="0.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row>
    <row r="747" spans="1:25" x14ac:dyDescent="0.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row>
    <row r="748" spans="1:25" x14ac:dyDescent="0.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row>
    <row r="749" spans="1:25" x14ac:dyDescent="0.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row>
    <row r="750" spans="1:25" x14ac:dyDescent="0.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row>
    <row r="751" spans="1:25" x14ac:dyDescent="0.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row>
    <row r="752" spans="1:25" x14ac:dyDescent="0.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row>
    <row r="753" spans="1:25" x14ac:dyDescent="0.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row>
    <row r="754" spans="1:25" x14ac:dyDescent="0.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row>
    <row r="755" spans="1:25" x14ac:dyDescent="0.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row>
    <row r="756" spans="1:25" x14ac:dyDescent="0.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row>
    <row r="757" spans="1:25" x14ac:dyDescent="0.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row>
    <row r="758" spans="1:25" x14ac:dyDescent="0.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row>
    <row r="759" spans="1:25" x14ac:dyDescent="0.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row>
    <row r="760" spans="1:25" x14ac:dyDescent="0.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row>
    <row r="761" spans="1:25" x14ac:dyDescent="0.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row>
    <row r="762" spans="1:25" x14ac:dyDescent="0.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row>
    <row r="763" spans="1:25" x14ac:dyDescent="0.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row>
    <row r="764" spans="1:25" x14ac:dyDescent="0.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row>
    <row r="765" spans="1:25" x14ac:dyDescent="0.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row>
    <row r="766" spans="1:25" x14ac:dyDescent="0.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row>
    <row r="767" spans="1:25" x14ac:dyDescent="0.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row>
    <row r="768" spans="1:25" x14ac:dyDescent="0.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row>
    <row r="769" spans="1:25" x14ac:dyDescent="0.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row>
    <row r="770" spans="1:25" x14ac:dyDescent="0.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row>
    <row r="771" spans="1:25" x14ac:dyDescent="0.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row>
    <row r="772" spans="1:25" x14ac:dyDescent="0.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row>
    <row r="773" spans="1:25" x14ac:dyDescent="0.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row>
    <row r="774" spans="1:25" x14ac:dyDescent="0.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row>
    <row r="775" spans="1:25" x14ac:dyDescent="0.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row>
    <row r="776" spans="1:25" x14ac:dyDescent="0.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row>
    <row r="777" spans="1:25" x14ac:dyDescent="0.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row>
    <row r="778" spans="1:25" x14ac:dyDescent="0.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row>
    <row r="779" spans="1:25" x14ac:dyDescent="0.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row>
    <row r="780" spans="1:25" x14ac:dyDescent="0.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row>
    <row r="781" spans="1:25" x14ac:dyDescent="0.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row>
    <row r="782" spans="1:25" x14ac:dyDescent="0.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row>
    <row r="783" spans="1:25" x14ac:dyDescent="0.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row>
    <row r="784" spans="1:25" x14ac:dyDescent="0.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row>
    <row r="785" spans="1:25" x14ac:dyDescent="0.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row>
    <row r="786" spans="1:25" x14ac:dyDescent="0.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row>
    <row r="787" spans="1:25" x14ac:dyDescent="0.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row>
    <row r="788" spans="1:25" x14ac:dyDescent="0.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row>
    <row r="789" spans="1:25" x14ac:dyDescent="0.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row>
    <row r="790" spans="1:25" x14ac:dyDescent="0.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row>
    <row r="791" spans="1:25" x14ac:dyDescent="0.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row>
    <row r="792" spans="1:25" x14ac:dyDescent="0.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row>
    <row r="793" spans="1:25" x14ac:dyDescent="0.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row>
    <row r="794" spans="1:25" x14ac:dyDescent="0.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row>
    <row r="795" spans="1:25" x14ac:dyDescent="0.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row>
    <row r="796" spans="1:25" x14ac:dyDescent="0.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row>
    <row r="797" spans="1:25" x14ac:dyDescent="0.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row>
    <row r="798" spans="1:25" x14ac:dyDescent="0.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row>
    <row r="799" spans="1:25" x14ac:dyDescent="0.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row>
    <row r="800" spans="1:25" x14ac:dyDescent="0.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row>
    <row r="801" spans="1:25" x14ac:dyDescent="0.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row>
    <row r="802" spans="1:25" x14ac:dyDescent="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row>
    <row r="803" spans="1:25" x14ac:dyDescent="0.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row>
    <row r="804" spans="1:25" x14ac:dyDescent="0.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row>
    <row r="805" spans="1:25" x14ac:dyDescent="0.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row>
    <row r="806" spans="1:25" x14ac:dyDescent="0.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row>
    <row r="807" spans="1:25" x14ac:dyDescent="0.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row>
    <row r="808" spans="1:25" x14ac:dyDescent="0.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row>
    <row r="809" spans="1:25" x14ac:dyDescent="0.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row>
    <row r="810" spans="1:25" x14ac:dyDescent="0.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row>
    <row r="811" spans="1:25" x14ac:dyDescent="0.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row>
    <row r="812" spans="1:25" x14ac:dyDescent="0.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row>
    <row r="813" spans="1:25" x14ac:dyDescent="0.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row>
    <row r="814" spans="1:25" x14ac:dyDescent="0.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row>
    <row r="815" spans="1:25" x14ac:dyDescent="0.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row>
    <row r="816" spans="1:25" x14ac:dyDescent="0.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row>
    <row r="817" spans="1:25" x14ac:dyDescent="0.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row>
    <row r="818" spans="1:25" x14ac:dyDescent="0.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row>
    <row r="819" spans="1:25" x14ac:dyDescent="0.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row>
    <row r="820" spans="1:25" x14ac:dyDescent="0.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row>
    <row r="821" spans="1:25" x14ac:dyDescent="0.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row>
    <row r="822" spans="1:25" x14ac:dyDescent="0.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row>
    <row r="823" spans="1:25" x14ac:dyDescent="0.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row>
    <row r="824" spans="1:25" x14ac:dyDescent="0.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row>
    <row r="825" spans="1:25" x14ac:dyDescent="0.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row>
    <row r="826" spans="1:25" x14ac:dyDescent="0.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row>
    <row r="827" spans="1:25" x14ac:dyDescent="0.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row>
    <row r="828" spans="1:25" x14ac:dyDescent="0.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row>
    <row r="829" spans="1:25" x14ac:dyDescent="0.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row>
    <row r="830" spans="1:25" x14ac:dyDescent="0.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row>
    <row r="831" spans="1:25" x14ac:dyDescent="0.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row>
    <row r="832" spans="1:25" x14ac:dyDescent="0.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row>
    <row r="833" spans="1:25" x14ac:dyDescent="0.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row>
    <row r="834" spans="1:25" x14ac:dyDescent="0.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row>
    <row r="835" spans="1:25" x14ac:dyDescent="0.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row>
    <row r="836" spans="1:25" x14ac:dyDescent="0.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row>
    <row r="837" spans="1:25" x14ac:dyDescent="0.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row>
    <row r="838" spans="1:25" x14ac:dyDescent="0.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row>
    <row r="839" spans="1:25" x14ac:dyDescent="0.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row>
    <row r="840" spans="1:25" x14ac:dyDescent="0.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row>
    <row r="841" spans="1:25" x14ac:dyDescent="0.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row>
    <row r="842" spans="1:25" x14ac:dyDescent="0.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row>
    <row r="843" spans="1:25" x14ac:dyDescent="0.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row>
    <row r="844" spans="1:25" x14ac:dyDescent="0.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row>
    <row r="845" spans="1:25" x14ac:dyDescent="0.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row>
    <row r="846" spans="1:25" x14ac:dyDescent="0.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row>
    <row r="847" spans="1:25" x14ac:dyDescent="0.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row>
    <row r="848" spans="1:25" x14ac:dyDescent="0.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row>
    <row r="849" spans="1:25" x14ac:dyDescent="0.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row>
    <row r="850" spans="1:25" x14ac:dyDescent="0.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row>
    <row r="851" spans="1:25" x14ac:dyDescent="0.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row>
    <row r="852" spans="1:25" x14ac:dyDescent="0.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row>
    <row r="853" spans="1:25" x14ac:dyDescent="0.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row>
    <row r="854" spans="1:25" x14ac:dyDescent="0.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row>
    <row r="855" spans="1:25" x14ac:dyDescent="0.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row>
    <row r="856" spans="1:25" x14ac:dyDescent="0.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row>
    <row r="857" spans="1:25" x14ac:dyDescent="0.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row>
    <row r="858" spans="1:25" x14ac:dyDescent="0.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row>
    <row r="859" spans="1:25" x14ac:dyDescent="0.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row>
    <row r="860" spans="1:25" x14ac:dyDescent="0.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row>
    <row r="861" spans="1:25" x14ac:dyDescent="0.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row>
    <row r="862" spans="1:25" x14ac:dyDescent="0.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row>
    <row r="863" spans="1:25" x14ac:dyDescent="0.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row>
    <row r="864" spans="1:25" x14ac:dyDescent="0.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row>
    <row r="865" spans="1:25" x14ac:dyDescent="0.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row>
    <row r="866" spans="1:25" x14ac:dyDescent="0.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row>
    <row r="867" spans="1:25" x14ac:dyDescent="0.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row>
    <row r="868" spans="1:25" x14ac:dyDescent="0.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row>
    <row r="869" spans="1:25" x14ac:dyDescent="0.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row>
    <row r="870" spans="1:25" x14ac:dyDescent="0.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row>
    <row r="871" spans="1:25" x14ac:dyDescent="0.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row>
    <row r="872" spans="1:25" x14ac:dyDescent="0.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row>
    <row r="873" spans="1:25" x14ac:dyDescent="0.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row>
    <row r="874" spans="1:25" x14ac:dyDescent="0.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row>
    <row r="875" spans="1:25" x14ac:dyDescent="0.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row>
    <row r="876" spans="1:25" x14ac:dyDescent="0.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row>
    <row r="877" spans="1:25" x14ac:dyDescent="0.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row>
    <row r="878" spans="1:25" x14ac:dyDescent="0.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row>
    <row r="879" spans="1:25" x14ac:dyDescent="0.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row>
    <row r="880" spans="1:25" x14ac:dyDescent="0.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row>
    <row r="881" spans="1:25" x14ac:dyDescent="0.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row>
    <row r="882" spans="1:25" x14ac:dyDescent="0.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row>
    <row r="883" spans="1:25" x14ac:dyDescent="0.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row>
    <row r="884" spans="1:25" x14ac:dyDescent="0.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row>
    <row r="885" spans="1:25" x14ac:dyDescent="0.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row>
    <row r="886" spans="1:25" x14ac:dyDescent="0.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row>
    <row r="887" spans="1:25" x14ac:dyDescent="0.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row>
    <row r="888" spans="1:25" x14ac:dyDescent="0.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row>
    <row r="889" spans="1:25" x14ac:dyDescent="0.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row>
    <row r="890" spans="1:25" x14ac:dyDescent="0.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row>
    <row r="891" spans="1:25" x14ac:dyDescent="0.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row>
    <row r="892" spans="1:25" x14ac:dyDescent="0.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row>
    <row r="893" spans="1:25" x14ac:dyDescent="0.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row>
    <row r="894" spans="1:25" x14ac:dyDescent="0.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row>
    <row r="895" spans="1:25" x14ac:dyDescent="0.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row>
    <row r="896" spans="1:25" x14ac:dyDescent="0.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row>
    <row r="897" spans="1:25" x14ac:dyDescent="0.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row>
    <row r="898" spans="1:25" x14ac:dyDescent="0.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row>
    <row r="899" spans="1:25" x14ac:dyDescent="0.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row>
    <row r="900" spans="1:25" x14ac:dyDescent="0.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row>
    <row r="901" spans="1:25" x14ac:dyDescent="0.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row>
    <row r="902" spans="1:25" x14ac:dyDescent="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row>
    <row r="903" spans="1:25" x14ac:dyDescent="0.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row>
    <row r="904" spans="1:25" x14ac:dyDescent="0.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row>
    <row r="905" spans="1:25" x14ac:dyDescent="0.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row>
    <row r="906" spans="1:25" x14ac:dyDescent="0.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row>
    <row r="907" spans="1:25" x14ac:dyDescent="0.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row>
    <row r="908" spans="1:25" x14ac:dyDescent="0.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row>
    <row r="909" spans="1:25" x14ac:dyDescent="0.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row>
    <row r="910" spans="1:25" x14ac:dyDescent="0.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row>
    <row r="911" spans="1:25" x14ac:dyDescent="0.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row>
    <row r="912" spans="1:25" x14ac:dyDescent="0.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row>
    <row r="913" spans="1:25" x14ac:dyDescent="0.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row>
    <row r="914" spans="1:25" x14ac:dyDescent="0.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row>
    <row r="915" spans="1:25" x14ac:dyDescent="0.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row>
    <row r="916" spans="1:25" x14ac:dyDescent="0.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row>
    <row r="917" spans="1:25" x14ac:dyDescent="0.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row>
    <row r="918" spans="1:25" x14ac:dyDescent="0.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row>
    <row r="919" spans="1:25" x14ac:dyDescent="0.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row>
    <row r="920" spans="1:25" x14ac:dyDescent="0.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row>
    <row r="921" spans="1:25" x14ac:dyDescent="0.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row>
    <row r="922" spans="1:25" x14ac:dyDescent="0.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row>
    <row r="923" spans="1:25" x14ac:dyDescent="0.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row>
    <row r="924" spans="1:25" x14ac:dyDescent="0.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row>
    <row r="925" spans="1:25" x14ac:dyDescent="0.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row>
    <row r="926" spans="1:25" x14ac:dyDescent="0.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row>
    <row r="927" spans="1:25" x14ac:dyDescent="0.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row>
    <row r="928" spans="1:25" x14ac:dyDescent="0.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row>
    <row r="929" spans="1:25" x14ac:dyDescent="0.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row>
    <row r="930" spans="1:25" x14ac:dyDescent="0.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row>
    <row r="931" spans="1:25" x14ac:dyDescent="0.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row>
    <row r="932" spans="1:25" x14ac:dyDescent="0.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row>
    <row r="933" spans="1:25" x14ac:dyDescent="0.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row>
    <row r="934" spans="1:25" x14ac:dyDescent="0.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row>
    <row r="935" spans="1:25" x14ac:dyDescent="0.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row>
    <row r="936" spans="1:25" x14ac:dyDescent="0.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row>
    <row r="937" spans="1:25" x14ac:dyDescent="0.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row>
    <row r="938" spans="1:25" x14ac:dyDescent="0.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row>
    <row r="939" spans="1:25" x14ac:dyDescent="0.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row>
    <row r="940" spans="1:25" x14ac:dyDescent="0.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row>
    <row r="941" spans="1:25" x14ac:dyDescent="0.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row>
    <row r="942" spans="1:25" x14ac:dyDescent="0.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row>
    <row r="943" spans="1:25" x14ac:dyDescent="0.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row>
    <row r="944" spans="1:25" x14ac:dyDescent="0.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row>
    <row r="945" spans="1:25" x14ac:dyDescent="0.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row>
    <row r="946" spans="1:25" x14ac:dyDescent="0.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row>
    <row r="947" spans="1:25" x14ac:dyDescent="0.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row>
    <row r="948" spans="1:25" x14ac:dyDescent="0.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row>
    <row r="949" spans="1:25" x14ac:dyDescent="0.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row>
    <row r="950" spans="1:25" x14ac:dyDescent="0.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row>
    <row r="951" spans="1:25" x14ac:dyDescent="0.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row>
    <row r="952" spans="1:25" x14ac:dyDescent="0.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row>
    <row r="953" spans="1:25" x14ac:dyDescent="0.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row>
    <row r="954" spans="1:25" x14ac:dyDescent="0.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row>
    <row r="955" spans="1:25" x14ac:dyDescent="0.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row>
    <row r="956" spans="1:25" x14ac:dyDescent="0.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row>
    <row r="957" spans="1:25" x14ac:dyDescent="0.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row>
    <row r="958" spans="1:25" x14ac:dyDescent="0.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row>
    <row r="959" spans="1:25" x14ac:dyDescent="0.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row>
    <row r="960" spans="1:25" x14ac:dyDescent="0.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row>
    <row r="961" spans="1:25" x14ac:dyDescent="0.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row>
    <row r="962" spans="1:25" x14ac:dyDescent="0.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row>
    <row r="963" spans="1:25" x14ac:dyDescent="0.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row>
    <row r="964" spans="1:25" x14ac:dyDescent="0.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row>
    <row r="965" spans="1:25" x14ac:dyDescent="0.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row>
    <row r="966" spans="1:25" x14ac:dyDescent="0.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row>
    <row r="967" spans="1:25" x14ac:dyDescent="0.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row>
    <row r="968" spans="1:25" x14ac:dyDescent="0.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row>
    <row r="969" spans="1:25" x14ac:dyDescent="0.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row>
    <row r="970" spans="1:25" x14ac:dyDescent="0.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row>
    <row r="971" spans="1:25" x14ac:dyDescent="0.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row>
    <row r="972" spans="1:25" x14ac:dyDescent="0.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row>
    <row r="973" spans="1:25" x14ac:dyDescent="0.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row>
    <row r="974" spans="1:25" x14ac:dyDescent="0.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row>
    <row r="975" spans="1:25" x14ac:dyDescent="0.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row>
    <row r="976" spans="1:25" x14ac:dyDescent="0.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row>
    <row r="977" spans="1:25" x14ac:dyDescent="0.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row>
    <row r="978" spans="1:25" x14ac:dyDescent="0.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row>
    <row r="979" spans="1:25" x14ac:dyDescent="0.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row>
    <row r="980" spans="1:25" x14ac:dyDescent="0.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row>
    <row r="981" spans="1:25" x14ac:dyDescent="0.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row>
    <row r="982" spans="1:25" x14ac:dyDescent="0.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row>
    <row r="983" spans="1:25" x14ac:dyDescent="0.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row>
    <row r="984" spans="1:25" x14ac:dyDescent="0.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row>
    <row r="985" spans="1:25" x14ac:dyDescent="0.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row>
    <row r="986" spans="1:25" x14ac:dyDescent="0.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row>
    <row r="987" spans="1:25" x14ac:dyDescent="0.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row>
    <row r="988" spans="1:25" x14ac:dyDescent="0.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row>
    <row r="989" spans="1:25" x14ac:dyDescent="0.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row>
    <row r="990" spans="1:25" x14ac:dyDescent="0.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row>
    <row r="991" spans="1:25" x14ac:dyDescent="0.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row>
    <row r="992" spans="1:25" x14ac:dyDescent="0.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row>
    <row r="993" spans="1:25" x14ac:dyDescent="0.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row>
    <row r="994" spans="1:25" x14ac:dyDescent="0.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row>
    <row r="995" spans="1:25" x14ac:dyDescent="0.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row>
    <row r="996" spans="1:25" x14ac:dyDescent="0.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row>
  </sheetData>
  <mergeCells count="8">
    <mergeCell ref="A16:D16"/>
    <mergeCell ref="A4:G4"/>
    <mergeCell ref="A5:G5"/>
    <mergeCell ref="A6:A7"/>
    <mergeCell ref="B6:B7"/>
    <mergeCell ref="C6:C7"/>
    <mergeCell ref="D6:D7"/>
    <mergeCell ref="G6:G7"/>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995"/>
  <sheetViews>
    <sheetView showGridLines="0" workbookViewId="0">
      <pane ySplit="7" topLeftCell="A8" activePane="bottomLeft" state="frozen"/>
      <selection pane="bottomLeft" activeCell="G15" sqref="G15"/>
    </sheetView>
    <sheetView workbookViewId="1"/>
  </sheetViews>
  <sheetFormatPr defaultColWidth="0" defaultRowHeight="15" customHeight="1" x14ac:dyDescent="0.2"/>
  <cols>
    <col min="1" max="1" width="32.28515625" customWidth="1"/>
    <col min="2" max="2" width="22.42578125" customWidth="1"/>
    <col min="3" max="3" width="9.28515625" customWidth="1"/>
    <col min="4" max="4" width="13.7109375" customWidth="1"/>
    <col min="5" max="5" width="13.28515625" customWidth="1"/>
    <col min="6" max="6" width="32" customWidth="1"/>
    <col min="7" max="7" width="12.7109375" customWidth="1"/>
    <col min="8" max="8" width="14.28515625" customWidth="1"/>
    <col min="9" max="9" width="9.28515625" customWidth="1"/>
    <col min="10" max="11" width="9.28515625" hidden="1" customWidth="1"/>
    <col min="12" max="28" width="10" hidden="1" customWidth="1"/>
    <col min="29" max="16384" width="12.42578125" hidden="1"/>
  </cols>
  <sheetData>
    <row r="1" spans="1:26" s="159" customFormat="1" ht="15" customHeight="1" x14ac:dyDescent="0.2">
      <c r="A1" s="196" t="str">
        <f>'RESUMEN GENERAL'!A3</f>
        <v xml:space="preserve">Título del proyecto:   </v>
      </c>
      <c r="B1" t="str" cm="1">
        <f t="array" ref="B1:J1">'RESUMEN GENERAL'!B3:J3</f>
        <v xml:space="preserve">Funciones evolutivas del habla dirigida a bebés: Impacto en la atención, las preferencias auditivas y el desarrollo lingüístico y musical temprano </v>
      </c>
      <c r="C1" s="159">
        <v>0</v>
      </c>
      <c r="D1" s="159">
        <v>0</v>
      </c>
      <c r="E1" s="159">
        <v>0</v>
      </c>
      <c r="F1" s="159">
        <v>0</v>
      </c>
      <c r="G1" s="159">
        <v>0</v>
      </c>
      <c r="H1" s="159">
        <v>0</v>
      </c>
      <c r="I1" s="159">
        <v>0</v>
      </c>
      <c r="J1" s="159">
        <v>0</v>
      </c>
    </row>
    <row r="2" spans="1:26" s="159" customFormat="1" ht="15" customHeight="1" x14ac:dyDescent="0.2">
      <c r="A2" s="196" t="str">
        <f>'RESUMEN GENERAL'!A4</f>
        <v xml:space="preserve">Investigador Principal: </v>
      </c>
      <c r="B2" t="str" cm="1">
        <f t="array" ref="B2:J2">'RESUMEN GENERAL'!B4:J4</f>
        <v>Juan David Leongómez Peña</v>
      </c>
      <c r="C2" s="159">
        <v>0</v>
      </c>
      <c r="D2" s="159">
        <v>0</v>
      </c>
      <c r="E2" s="159">
        <v>0</v>
      </c>
      <c r="F2" s="159">
        <v>0</v>
      </c>
      <c r="G2" s="159">
        <v>0</v>
      </c>
      <c r="H2" s="159">
        <v>0</v>
      </c>
      <c r="I2" s="159">
        <v>0</v>
      </c>
      <c r="J2" s="159">
        <v>0</v>
      </c>
    </row>
    <row r="4" spans="1:26" ht="15" customHeight="1" x14ac:dyDescent="0.2">
      <c r="A4" s="52" t="s">
        <v>50</v>
      </c>
      <c r="B4" s="52"/>
      <c r="C4" s="63"/>
      <c r="D4" s="63"/>
      <c r="E4" s="63"/>
      <c r="F4" s="63"/>
      <c r="G4" s="63"/>
      <c r="H4" s="63"/>
    </row>
    <row r="5" spans="1:26" ht="72.75" customHeight="1" x14ac:dyDescent="0.2">
      <c r="A5" s="297" t="s">
        <v>143</v>
      </c>
      <c r="B5" s="297"/>
      <c r="C5" s="297"/>
      <c r="D5" s="297"/>
      <c r="E5" s="297"/>
      <c r="F5" s="297"/>
      <c r="G5" s="297"/>
      <c r="H5" s="297"/>
    </row>
    <row r="6" spans="1:26" ht="48" customHeight="1" x14ac:dyDescent="0.2">
      <c r="A6" s="269" t="s">
        <v>128</v>
      </c>
      <c r="B6" s="269" t="s">
        <v>91</v>
      </c>
      <c r="C6" s="269" t="s">
        <v>63</v>
      </c>
      <c r="D6" s="269" t="s">
        <v>93</v>
      </c>
      <c r="E6" s="269" t="s">
        <v>54</v>
      </c>
      <c r="F6" s="25" t="s">
        <v>32</v>
      </c>
      <c r="G6" s="25" t="s">
        <v>69</v>
      </c>
      <c r="H6" s="269" t="s">
        <v>36</v>
      </c>
    </row>
    <row r="7" spans="1:26" ht="49.5" customHeight="1" x14ac:dyDescent="0.2">
      <c r="A7" s="270"/>
      <c r="B7" s="270"/>
      <c r="C7" s="270"/>
      <c r="D7" s="270"/>
      <c r="E7" s="270"/>
      <c r="F7" s="49" t="s">
        <v>94</v>
      </c>
      <c r="G7" s="1" t="s">
        <v>41</v>
      </c>
      <c r="H7" s="270"/>
    </row>
    <row r="8" spans="1:26" ht="12.75" customHeight="1" x14ac:dyDescent="0.2">
      <c r="A8" s="42"/>
      <c r="B8" s="43"/>
      <c r="C8" s="45">
        <v>0</v>
      </c>
      <c r="D8" s="45">
        <v>0</v>
      </c>
      <c r="E8" s="39">
        <f t="shared" ref="E8:E14" si="0">+C8*D8</f>
        <v>0</v>
      </c>
      <c r="F8" s="46">
        <v>0</v>
      </c>
      <c r="G8" s="46">
        <v>0</v>
      </c>
      <c r="H8" s="39">
        <f t="shared" ref="H8:H14" si="1">SUM(F8:G8)</f>
        <v>0</v>
      </c>
      <c r="I8" s="51"/>
      <c r="J8" s="51"/>
      <c r="K8" s="51"/>
      <c r="L8" s="51"/>
      <c r="M8" s="51"/>
      <c r="N8" s="51"/>
      <c r="O8" s="51"/>
      <c r="P8" s="51"/>
      <c r="Q8" s="51"/>
      <c r="R8" s="51"/>
      <c r="S8" s="51"/>
      <c r="T8" s="51"/>
      <c r="U8" s="51"/>
      <c r="V8" s="51"/>
      <c r="W8" s="51"/>
      <c r="X8" s="51"/>
      <c r="Y8" s="51"/>
      <c r="Z8" s="51"/>
    </row>
    <row r="9" spans="1:26" ht="12.75" customHeight="1" x14ac:dyDescent="0.2">
      <c r="A9" s="44"/>
      <c r="B9" s="44"/>
      <c r="C9" s="45">
        <v>0</v>
      </c>
      <c r="D9" s="45">
        <v>0</v>
      </c>
      <c r="E9" s="39">
        <f t="shared" si="0"/>
        <v>0</v>
      </c>
      <c r="F9" s="45">
        <v>0</v>
      </c>
      <c r="G9" s="46">
        <v>0</v>
      </c>
      <c r="H9" s="39">
        <f t="shared" si="1"/>
        <v>0</v>
      </c>
      <c r="I9" s="63"/>
      <c r="J9" s="63"/>
      <c r="K9" s="63"/>
      <c r="L9" s="63"/>
      <c r="M9" s="63"/>
      <c r="N9" s="63"/>
      <c r="O9" s="63"/>
      <c r="P9" s="63"/>
      <c r="Q9" s="63"/>
      <c r="R9" s="63"/>
      <c r="S9" s="63"/>
      <c r="T9" s="63"/>
      <c r="U9" s="63"/>
      <c r="V9" s="63"/>
      <c r="W9" s="63"/>
      <c r="X9" s="63"/>
      <c r="Y9" s="63"/>
      <c r="Z9" s="63"/>
    </row>
    <row r="10" spans="1:26" ht="12.75" customHeight="1" x14ac:dyDescent="0.2">
      <c r="A10" s="44"/>
      <c r="B10" s="44"/>
      <c r="C10" s="45">
        <v>0</v>
      </c>
      <c r="D10" s="45">
        <v>0</v>
      </c>
      <c r="E10" s="39">
        <f t="shared" si="0"/>
        <v>0</v>
      </c>
      <c r="F10" s="45">
        <v>0</v>
      </c>
      <c r="G10" s="46">
        <v>0</v>
      </c>
      <c r="H10" s="39">
        <f t="shared" si="1"/>
        <v>0</v>
      </c>
      <c r="I10" s="63"/>
      <c r="J10" s="63"/>
      <c r="K10" s="63"/>
      <c r="L10" s="63"/>
      <c r="M10" s="63"/>
      <c r="N10" s="63"/>
      <c r="O10" s="63"/>
      <c r="P10" s="63"/>
      <c r="Q10" s="63"/>
      <c r="R10" s="63"/>
      <c r="S10" s="63"/>
      <c r="T10" s="63"/>
      <c r="U10" s="63"/>
      <c r="V10" s="63"/>
      <c r="W10" s="63"/>
      <c r="X10" s="63"/>
      <c r="Y10" s="63"/>
      <c r="Z10" s="63"/>
    </row>
    <row r="11" spans="1:26" ht="12.75" customHeight="1" x14ac:dyDescent="0.2">
      <c r="A11" s="44"/>
      <c r="B11" s="44"/>
      <c r="C11" s="45">
        <v>0</v>
      </c>
      <c r="D11" s="45">
        <v>0</v>
      </c>
      <c r="E11" s="39">
        <f t="shared" si="0"/>
        <v>0</v>
      </c>
      <c r="F11" s="45">
        <v>0</v>
      </c>
      <c r="G11" s="46">
        <v>0</v>
      </c>
      <c r="H11" s="39">
        <f t="shared" si="1"/>
        <v>0</v>
      </c>
      <c r="I11" s="51"/>
      <c r="J11" s="51"/>
      <c r="K11" s="51"/>
      <c r="L11" s="51"/>
      <c r="M11" s="51"/>
      <c r="N11" s="51"/>
      <c r="O11" s="51"/>
      <c r="P11" s="51"/>
      <c r="Q11" s="51"/>
      <c r="R11" s="51"/>
      <c r="S11" s="51"/>
      <c r="T11" s="51"/>
      <c r="U11" s="51"/>
      <c r="V11" s="51"/>
      <c r="W11" s="51"/>
      <c r="X11" s="51"/>
      <c r="Y11" s="51"/>
      <c r="Z11" s="51"/>
    </row>
    <row r="12" spans="1:26" ht="12.75" customHeight="1" x14ac:dyDescent="0.2">
      <c r="A12" s="44"/>
      <c r="B12" s="44"/>
      <c r="C12" s="45">
        <v>0</v>
      </c>
      <c r="D12" s="45">
        <v>0</v>
      </c>
      <c r="E12" s="39">
        <f t="shared" si="0"/>
        <v>0</v>
      </c>
      <c r="F12" s="45">
        <v>0</v>
      </c>
      <c r="G12" s="46">
        <v>0</v>
      </c>
      <c r="H12" s="39">
        <f t="shared" si="1"/>
        <v>0</v>
      </c>
      <c r="I12" s="51"/>
      <c r="J12" s="51"/>
      <c r="K12" s="51"/>
      <c r="L12" s="51"/>
      <c r="M12" s="51"/>
      <c r="N12" s="51"/>
      <c r="O12" s="51"/>
      <c r="P12" s="51"/>
      <c r="Q12" s="51"/>
      <c r="R12" s="51"/>
      <c r="S12" s="51"/>
      <c r="T12" s="51"/>
      <c r="U12" s="51"/>
      <c r="V12" s="51"/>
      <c r="W12" s="51"/>
      <c r="X12" s="51"/>
      <c r="Y12" s="51"/>
      <c r="Z12" s="51"/>
    </row>
    <row r="13" spans="1:26" ht="12.75" customHeight="1" x14ac:dyDescent="0.2">
      <c r="A13" s="44"/>
      <c r="B13" s="44"/>
      <c r="C13" s="45">
        <v>0</v>
      </c>
      <c r="D13" s="45">
        <v>0</v>
      </c>
      <c r="E13" s="39">
        <f t="shared" si="0"/>
        <v>0</v>
      </c>
      <c r="F13" s="45">
        <v>0</v>
      </c>
      <c r="G13" s="46">
        <v>0</v>
      </c>
      <c r="H13" s="39">
        <f t="shared" si="1"/>
        <v>0</v>
      </c>
      <c r="I13" s="51"/>
      <c r="J13" s="51"/>
      <c r="K13" s="51"/>
      <c r="L13" s="51"/>
      <c r="M13" s="51"/>
      <c r="N13" s="51"/>
      <c r="O13" s="51"/>
      <c r="P13" s="51"/>
      <c r="Q13" s="51"/>
      <c r="R13" s="51"/>
      <c r="S13" s="51"/>
      <c r="T13" s="51"/>
      <c r="U13" s="51"/>
      <c r="V13" s="51"/>
      <c r="W13" s="51"/>
      <c r="X13" s="51"/>
      <c r="Y13" s="51"/>
      <c r="Z13" s="51"/>
    </row>
    <row r="14" spans="1:26" ht="12.75" customHeight="1" x14ac:dyDescent="0.2">
      <c r="A14" s="44"/>
      <c r="B14" s="44"/>
      <c r="C14" s="45">
        <v>0</v>
      </c>
      <c r="D14" s="45">
        <v>0</v>
      </c>
      <c r="E14" s="39">
        <f t="shared" si="0"/>
        <v>0</v>
      </c>
      <c r="F14" s="45">
        <v>0</v>
      </c>
      <c r="G14" s="46">
        <v>0</v>
      </c>
      <c r="H14" s="39">
        <f t="shared" si="1"/>
        <v>0</v>
      </c>
      <c r="I14" s="51"/>
      <c r="J14" s="51"/>
      <c r="K14" s="51"/>
      <c r="L14" s="51"/>
      <c r="M14" s="51"/>
      <c r="N14" s="51"/>
      <c r="O14" s="51"/>
      <c r="P14" s="51"/>
      <c r="Q14" s="51"/>
      <c r="R14" s="51"/>
      <c r="S14" s="51"/>
      <c r="T14" s="51"/>
      <c r="U14" s="51"/>
      <c r="V14" s="51"/>
      <c r="W14" s="51"/>
      <c r="X14" s="51"/>
      <c r="Y14" s="51"/>
      <c r="Z14" s="51"/>
    </row>
    <row r="15" spans="1:26" ht="12.75" customHeight="1" x14ac:dyDescent="0.2">
      <c r="A15" s="288" t="s">
        <v>124</v>
      </c>
      <c r="B15" s="289"/>
      <c r="C15" s="289"/>
      <c r="D15" s="290"/>
      <c r="E15" s="206">
        <f t="shared" ref="E15:H15" si="2">SUM(E8:E14)</f>
        <v>0</v>
      </c>
      <c r="F15" s="206">
        <f t="shared" si="2"/>
        <v>0</v>
      </c>
      <c r="G15" s="206">
        <f t="shared" si="2"/>
        <v>0</v>
      </c>
      <c r="H15" s="206">
        <f t="shared" si="2"/>
        <v>0</v>
      </c>
      <c r="I15" s="51"/>
      <c r="J15" s="51"/>
      <c r="K15" s="51"/>
      <c r="L15" s="51"/>
      <c r="M15" s="51"/>
      <c r="N15" s="51"/>
      <c r="O15" s="51"/>
      <c r="P15" s="51"/>
      <c r="Q15" s="51"/>
      <c r="R15" s="51"/>
      <c r="S15" s="51"/>
      <c r="T15" s="51"/>
      <c r="U15" s="51"/>
      <c r="V15" s="51"/>
      <c r="W15" s="51"/>
      <c r="X15" s="51"/>
      <c r="Y15" s="51"/>
      <c r="Z15" s="51"/>
    </row>
    <row r="16" spans="1:26" ht="12.75" customHeight="1" x14ac:dyDescent="0.2">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spans="1:26" ht="12.75" customHeight="1" x14ac:dyDescent="0.2">
      <c r="A17" s="282" t="s">
        <v>113</v>
      </c>
      <c r="B17" s="272"/>
      <c r="C17" s="63"/>
      <c r="D17" s="63"/>
      <c r="E17" s="63"/>
      <c r="F17" s="63"/>
      <c r="G17" s="63"/>
      <c r="H17" s="63"/>
      <c r="I17" s="63"/>
      <c r="J17" s="63"/>
      <c r="K17" s="63"/>
      <c r="L17" s="63"/>
      <c r="M17" s="63"/>
      <c r="N17" s="63"/>
      <c r="O17" s="63"/>
      <c r="P17" s="63"/>
      <c r="Q17" s="63"/>
      <c r="R17" s="63"/>
      <c r="S17" s="63"/>
      <c r="T17" s="63"/>
      <c r="U17" s="63"/>
      <c r="V17" s="63"/>
      <c r="W17" s="63"/>
      <c r="X17" s="63"/>
      <c r="Y17" s="63"/>
      <c r="Z17" s="63"/>
    </row>
    <row r="18" spans="1:26" ht="12.75" customHeight="1" x14ac:dyDescent="0.2">
      <c r="A18" s="30" t="s">
        <v>129</v>
      </c>
      <c r="B18" s="30" t="s">
        <v>81</v>
      </c>
      <c r="C18" s="63"/>
      <c r="D18" s="63"/>
      <c r="E18" s="63"/>
      <c r="F18" s="63"/>
      <c r="G18" s="63"/>
      <c r="H18" s="63"/>
      <c r="I18" s="63"/>
      <c r="J18" s="63"/>
      <c r="K18" s="63"/>
      <c r="L18" s="63"/>
      <c r="M18" s="63"/>
      <c r="N18" s="63"/>
      <c r="O18" s="63"/>
      <c r="P18" s="63"/>
      <c r="Q18" s="63"/>
      <c r="R18" s="63"/>
      <c r="S18" s="63"/>
      <c r="T18" s="63"/>
      <c r="U18" s="63"/>
      <c r="V18" s="63"/>
      <c r="W18" s="63"/>
      <c r="X18" s="63"/>
      <c r="Y18" s="63"/>
      <c r="Z18" s="63"/>
    </row>
    <row r="19" spans="1:26" ht="12.75" customHeight="1" x14ac:dyDescent="0.2">
      <c r="A19" s="28" t="s">
        <v>130</v>
      </c>
      <c r="B19" s="31">
        <v>16000000</v>
      </c>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2.75" customHeight="1" x14ac:dyDescent="0.2">
      <c r="A20" s="28" t="s">
        <v>131</v>
      </c>
      <c r="B20" s="31">
        <v>8000000</v>
      </c>
      <c r="C20" s="63"/>
      <c r="D20" s="63"/>
      <c r="E20" s="63"/>
      <c r="F20" s="63"/>
      <c r="G20" s="63"/>
      <c r="H20" s="63"/>
      <c r="I20" s="63"/>
      <c r="J20" s="63"/>
      <c r="K20" s="63"/>
      <c r="L20" s="63"/>
      <c r="M20" s="63"/>
      <c r="N20" s="63"/>
      <c r="O20" s="63"/>
      <c r="P20" s="63"/>
      <c r="Q20" s="63"/>
      <c r="R20" s="63"/>
      <c r="S20" s="63"/>
      <c r="T20" s="63"/>
      <c r="U20" s="63"/>
      <c r="V20" s="63"/>
      <c r="W20" s="63"/>
      <c r="X20" s="63"/>
      <c r="Y20" s="63"/>
      <c r="Z20" s="63"/>
    </row>
    <row r="21" spans="1:26" ht="12.75" customHeight="1" x14ac:dyDescent="0.2">
      <c r="A21" s="28" t="s">
        <v>132</v>
      </c>
      <c r="B21" s="31">
        <v>3000000</v>
      </c>
      <c r="C21" s="63"/>
      <c r="D21" s="63"/>
      <c r="E21" s="63"/>
      <c r="F21" s="63"/>
      <c r="G21" s="63"/>
      <c r="H21" s="63"/>
      <c r="I21" s="63"/>
      <c r="J21" s="63"/>
      <c r="K21" s="63"/>
      <c r="L21" s="63"/>
      <c r="M21" s="63"/>
      <c r="N21" s="63"/>
      <c r="O21" s="63"/>
      <c r="P21" s="63"/>
      <c r="Q21" s="63"/>
      <c r="R21" s="63"/>
      <c r="S21" s="63"/>
      <c r="T21" s="63"/>
      <c r="U21" s="63"/>
      <c r="V21" s="63"/>
      <c r="W21" s="63"/>
      <c r="X21" s="63"/>
      <c r="Y21" s="63"/>
      <c r="Z21" s="63"/>
    </row>
    <row r="22" spans="1:26" ht="12.75" customHeight="1" x14ac:dyDescent="0.2">
      <c r="A22" s="28" t="s">
        <v>133</v>
      </c>
      <c r="B22" s="31">
        <v>2000000</v>
      </c>
      <c r="C22" s="63"/>
      <c r="D22" s="63"/>
      <c r="E22" s="63"/>
      <c r="F22" s="63"/>
      <c r="G22" s="63"/>
      <c r="H22" s="63"/>
      <c r="I22" s="63"/>
      <c r="J22" s="63"/>
      <c r="K22" s="63"/>
      <c r="L22" s="63"/>
      <c r="M22" s="63"/>
      <c r="N22" s="63"/>
      <c r="O22" s="63"/>
      <c r="P22" s="63"/>
      <c r="Q22" s="63"/>
      <c r="R22" s="63"/>
      <c r="S22" s="63"/>
      <c r="T22" s="63"/>
      <c r="U22" s="63"/>
      <c r="V22" s="63"/>
      <c r="W22" s="63"/>
      <c r="X22" s="63"/>
      <c r="Y22" s="63"/>
      <c r="Z22" s="63"/>
    </row>
    <row r="23" spans="1:26" ht="12.75" customHeight="1" x14ac:dyDescent="0.2">
      <c r="A23" s="28" t="s">
        <v>134</v>
      </c>
      <c r="B23" s="31">
        <v>3000000</v>
      </c>
      <c r="C23" s="63"/>
      <c r="D23" s="63"/>
      <c r="E23" s="63"/>
      <c r="F23" s="63"/>
      <c r="G23" s="63"/>
      <c r="H23" s="63"/>
      <c r="I23" s="63"/>
      <c r="J23" s="63"/>
      <c r="K23" s="63"/>
      <c r="L23" s="63"/>
      <c r="M23" s="63"/>
      <c r="N23" s="63"/>
      <c r="O23" s="63"/>
      <c r="P23" s="63"/>
      <c r="Q23" s="63"/>
      <c r="R23" s="63"/>
      <c r="S23" s="63"/>
      <c r="T23" s="63"/>
      <c r="U23" s="63"/>
      <c r="V23" s="63"/>
      <c r="W23" s="63"/>
      <c r="X23" s="63"/>
      <c r="Y23" s="63"/>
      <c r="Z23" s="63"/>
    </row>
    <row r="24" spans="1:26" ht="12.75" customHeight="1" x14ac:dyDescent="0.2">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spans="1:26" ht="12.75" customHeight="1" x14ac:dyDescent="0.2">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spans="1:26" ht="12.75" customHeight="1" x14ac:dyDescent="0.2">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spans="1:26" ht="12.75" customHeight="1" x14ac:dyDescent="0.2">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spans="1:26" ht="12.75" customHeight="1" x14ac:dyDescent="0.2">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spans="1:26" ht="12.75" customHeight="1" x14ac:dyDescent="0.2">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spans="1:26" ht="12.75" customHeight="1" x14ac:dyDescent="0.2">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spans="1:26" ht="12.75" customHeight="1" x14ac:dyDescent="0.2">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spans="1:26" ht="12.75" customHeight="1" x14ac:dyDescent="0.2">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spans="1:26" ht="12.75" customHeight="1" x14ac:dyDescent="0.2">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spans="1:26" ht="12.75" customHeight="1" x14ac:dyDescent="0.2">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spans="1:26" ht="12.75" customHeight="1" x14ac:dyDescent="0.2">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spans="1:26" ht="12.75" customHeight="1" x14ac:dyDescent="0.2">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spans="1:26" ht="12.75" customHeight="1" x14ac:dyDescent="0.2">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spans="1:26" ht="12.75" customHeight="1" x14ac:dyDescent="0.2">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spans="1:26" ht="12.75" customHeight="1" x14ac:dyDescent="0.2">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spans="1:26" ht="12.75" customHeight="1" x14ac:dyDescent="0.2">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spans="1:26" ht="12.75" customHeight="1" x14ac:dyDescent="0.2">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spans="1:26" ht="12.75" customHeight="1" x14ac:dyDescent="0.2">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spans="1:26" ht="12.75" customHeight="1" x14ac:dyDescent="0.2">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spans="1:26" ht="12.75" customHeight="1" x14ac:dyDescent="0.2">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spans="1:26" ht="12.75" customHeight="1" x14ac:dyDescent="0.2">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spans="1:26" ht="12.75" customHeight="1" x14ac:dyDescent="0.2">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spans="1:26" ht="12.75" customHeight="1" x14ac:dyDescent="0.2">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spans="1:26" ht="12.75" customHeight="1" x14ac:dyDescent="0.2">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spans="1:26" ht="12.75" customHeight="1" x14ac:dyDescent="0.2">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spans="1:26" ht="12.75" customHeight="1" x14ac:dyDescent="0.2">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spans="1:26" ht="12.75" customHeight="1" x14ac:dyDescent="0.2">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spans="1:26" ht="12.75" customHeight="1" x14ac:dyDescent="0.2">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spans="1:26" ht="12.75" customHeight="1" x14ac:dyDescent="0.2">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spans="1:26" ht="12.75" customHeight="1" x14ac:dyDescent="0.2">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spans="1:26" ht="12.75" customHeight="1" x14ac:dyDescent="0.2">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spans="1:26" ht="12.75" customHeight="1" x14ac:dyDescent="0.2">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spans="1:26" ht="12.75" customHeight="1" x14ac:dyDescent="0.2">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spans="1:26" ht="12.75" customHeight="1" x14ac:dyDescent="0.2">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spans="1:26" ht="12.75" customHeight="1" x14ac:dyDescent="0.2">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spans="1:26" ht="12.75" customHeight="1" x14ac:dyDescent="0.2">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spans="1:26" ht="12.75" customHeight="1" x14ac:dyDescent="0.2">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spans="1:26" ht="12.75" customHeight="1" x14ac:dyDescent="0.2">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spans="1:26" ht="12.75" customHeight="1" x14ac:dyDescent="0.2">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spans="1:26" ht="12.75" customHeight="1" x14ac:dyDescent="0.2">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spans="1:26" ht="12.75" customHeight="1" x14ac:dyDescent="0.2">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spans="1:26" ht="12.75" customHeight="1" x14ac:dyDescent="0.2">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spans="1:26" ht="12.75" customHeight="1" x14ac:dyDescent="0.2">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spans="1:26" ht="12.75" customHeight="1" x14ac:dyDescent="0.2">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spans="1:26" ht="12.75" customHeight="1" x14ac:dyDescent="0.2">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spans="1:26" ht="12.75" customHeight="1" x14ac:dyDescent="0.2">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spans="1:26" ht="12.75" customHeight="1" x14ac:dyDescent="0.2">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spans="1:26" ht="12.75" customHeight="1" x14ac:dyDescent="0.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spans="1:26" ht="12.75" customHeight="1" x14ac:dyDescent="0.2">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spans="1:26" ht="12.75" customHeight="1" x14ac:dyDescent="0.2">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spans="1:26" ht="12.75" customHeight="1" x14ac:dyDescent="0.2">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spans="1:26" ht="12.75" customHeight="1" x14ac:dyDescent="0.2">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spans="1:26" ht="12.75" customHeight="1" x14ac:dyDescent="0.2">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spans="1:26" ht="12.75" customHeight="1" x14ac:dyDescent="0.2">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spans="1:26" ht="12.75" customHeight="1" x14ac:dyDescent="0.2">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spans="1:26" ht="12.75" customHeight="1" x14ac:dyDescent="0.2">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spans="1:26" ht="12.75" customHeight="1" x14ac:dyDescent="0.2">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spans="1:26" ht="12.75" customHeight="1" x14ac:dyDescent="0.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spans="1:26" ht="12.75" customHeight="1" x14ac:dyDescent="0.2">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spans="1:26" ht="12.75" customHeight="1" x14ac:dyDescent="0.2">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spans="1:26" ht="12.75" customHeight="1" x14ac:dyDescent="0.2">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spans="1:26" ht="12.75" customHeight="1" x14ac:dyDescent="0.2">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spans="1:26" ht="12.75" customHeight="1" x14ac:dyDescent="0.2">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spans="1:26" ht="12.75" customHeight="1" x14ac:dyDescent="0.2">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spans="1:26" ht="12.75" customHeight="1" x14ac:dyDescent="0.2">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spans="1:26" ht="12.75" customHeight="1" x14ac:dyDescent="0.2">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spans="1:26" ht="12.75" customHeight="1" x14ac:dyDescent="0.2">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spans="1:26" ht="12.75" customHeight="1" x14ac:dyDescent="0.2">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spans="1:26" ht="12.75" customHeight="1" x14ac:dyDescent="0.2">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spans="1:26" ht="12.75" customHeight="1" x14ac:dyDescent="0.2">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spans="1:26" ht="12.75" customHeight="1" x14ac:dyDescent="0.2">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spans="1:26" ht="12.75" customHeight="1" x14ac:dyDescent="0.2">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spans="1:26" ht="12.75" customHeight="1" x14ac:dyDescent="0.2">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spans="1:26" ht="12.75" customHeight="1" x14ac:dyDescent="0.2">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spans="1:26" ht="12.75" customHeight="1" x14ac:dyDescent="0.2">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spans="1:26" ht="12.75" customHeight="1" x14ac:dyDescent="0.2">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spans="1:26" ht="12.75" customHeight="1" x14ac:dyDescent="0.2">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spans="1:26" ht="12.75" customHeight="1" x14ac:dyDescent="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spans="1:26" ht="12.75" customHeight="1" x14ac:dyDescent="0.2">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spans="1:26" ht="12.75" customHeight="1" x14ac:dyDescent="0.2">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spans="1:26" ht="12.75" customHeight="1" x14ac:dyDescent="0.2">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spans="1:26" ht="12.75" customHeight="1" x14ac:dyDescent="0.2">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spans="1:26" ht="12.75" customHeight="1" x14ac:dyDescent="0.2">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spans="1:26" ht="12.75" customHeight="1" x14ac:dyDescent="0.2">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spans="1:26" ht="12.75" customHeight="1" x14ac:dyDescent="0.2">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spans="1:26" ht="12.75" customHeight="1" x14ac:dyDescent="0.2">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spans="1:26" ht="12.75" customHeight="1" x14ac:dyDescent="0.2">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spans="1:26" ht="12.75" customHeight="1" x14ac:dyDescent="0.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spans="1:26" ht="12.75" customHeight="1" x14ac:dyDescent="0.2">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spans="1:26" ht="12.75" customHeight="1" x14ac:dyDescent="0.2">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spans="1:26" ht="12.75" customHeight="1" x14ac:dyDescent="0.2">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spans="1:26" ht="12.75" customHeight="1" x14ac:dyDescent="0.2">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spans="1:26" ht="12.75" customHeight="1" x14ac:dyDescent="0.2">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spans="1:26" ht="12.75" customHeight="1" x14ac:dyDescent="0.2">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spans="1:26" ht="12.75" customHeight="1" x14ac:dyDescent="0.2">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spans="1:26" ht="12.75" customHeight="1" x14ac:dyDescent="0.2">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spans="1:26" ht="12.75" customHeight="1" x14ac:dyDescent="0.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spans="1:26" ht="12.75" customHeight="1" x14ac:dyDescent="0.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spans="1:26" ht="12.75" customHeight="1" x14ac:dyDescent="0.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spans="1:26" ht="12.75" customHeight="1" x14ac:dyDescent="0.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spans="1:26" ht="12.75" customHeight="1" x14ac:dyDescent="0.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spans="1:26" ht="12.75" customHeight="1" x14ac:dyDescent="0.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spans="1:26" ht="12.75" customHeight="1" x14ac:dyDescent="0.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spans="1:26" ht="12.75" customHeight="1" x14ac:dyDescent="0.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spans="1:26" ht="12.75" customHeight="1" x14ac:dyDescent="0.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spans="1:26" ht="12.75" customHeight="1" x14ac:dyDescent="0.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spans="1:26" ht="12.75" customHeight="1" x14ac:dyDescent="0.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spans="1:26" ht="12.75" customHeight="1" x14ac:dyDescent="0.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spans="1:26" ht="12.75" customHeight="1" x14ac:dyDescent="0.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spans="1:26" ht="12.75" customHeight="1" x14ac:dyDescent="0.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spans="1:26" ht="12.75" customHeight="1" x14ac:dyDescent="0.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spans="1:26" ht="12.75" customHeight="1" x14ac:dyDescent="0.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spans="1:26" ht="12.75" customHeight="1" x14ac:dyDescent="0.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spans="1:26" ht="12.75" customHeight="1" x14ac:dyDescent="0.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spans="1:26" ht="12.75" customHeight="1" x14ac:dyDescent="0.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spans="1:26" ht="12.75" customHeight="1" x14ac:dyDescent="0.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spans="1:26" ht="12.75" customHeight="1" x14ac:dyDescent="0.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spans="1:26" ht="12.75" customHeight="1" x14ac:dyDescent="0.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spans="1:26" ht="12.75" customHeight="1" x14ac:dyDescent="0.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spans="1:26" ht="12.75" customHeight="1" x14ac:dyDescent="0.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spans="1:26" ht="12.75" customHeight="1" x14ac:dyDescent="0.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spans="1:26" ht="12.75" customHeight="1" x14ac:dyDescent="0.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spans="1:26" ht="12.75" customHeight="1" x14ac:dyDescent="0.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spans="1:26" ht="12.75" customHeight="1" x14ac:dyDescent="0.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spans="1:26" ht="12.75" customHeight="1" x14ac:dyDescent="0.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spans="1:26" ht="12.75" customHeight="1" x14ac:dyDescent="0.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spans="1:26" ht="12.75" customHeight="1" x14ac:dyDescent="0.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spans="1:26" ht="12.75" customHeight="1" x14ac:dyDescent="0.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spans="1:26" ht="12.75" customHeight="1" x14ac:dyDescent="0.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spans="1:26" ht="12.75" customHeight="1" x14ac:dyDescent="0.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spans="1:26" ht="12.75" customHeight="1" x14ac:dyDescent="0.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spans="1:26" ht="12.75" customHeight="1" x14ac:dyDescent="0.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spans="1:26" ht="12.75" customHeight="1" x14ac:dyDescent="0.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spans="1:26" ht="12.75" customHeight="1" x14ac:dyDescent="0.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spans="1:26" ht="12.75" customHeight="1" x14ac:dyDescent="0.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spans="1:26" ht="12.75" customHeight="1" x14ac:dyDescent="0.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spans="1:26" ht="12.75" customHeight="1" x14ac:dyDescent="0.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spans="1:26" ht="12.75" customHeight="1" x14ac:dyDescent="0.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spans="1:26" ht="12.75" customHeight="1" x14ac:dyDescent="0.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spans="1:26" ht="12.75" customHeight="1" x14ac:dyDescent="0.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spans="1:26" ht="12.75" customHeight="1" x14ac:dyDescent="0.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spans="1:26" ht="12.75" customHeight="1" x14ac:dyDescent="0.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spans="1:26" ht="12.75" customHeight="1" x14ac:dyDescent="0.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spans="1:26" ht="12.75" customHeight="1" x14ac:dyDescent="0.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spans="1:26" ht="12.75" customHeight="1" x14ac:dyDescent="0.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spans="1:26" ht="12.75" customHeight="1" x14ac:dyDescent="0.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spans="1:26" ht="12.75" customHeight="1" x14ac:dyDescent="0.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spans="1:26" ht="12.75" customHeight="1" x14ac:dyDescent="0.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spans="1:26" ht="12.75" customHeight="1" x14ac:dyDescent="0.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spans="1:26" ht="12.75" customHeight="1" x14ac:dyDescent="0.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spans="1:26" ht="12.75" customHeight="1" x14ac:dyDescent="0.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spans="1:26" ht="12.75" customHeight="1" x14ac:dyDescent="0.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spans="1:26" ht="12.75" customHeight="1" x14ac:dyDescent="0.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spans="1:26" ht="12.75" customHeight="1" x14ac:dyDescent="0.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spans="1:26" ht="12.75" customHeight="1" x14ac:dyDescent="0.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spans="1:26" ht="12.75" customHeight="1" x14ac:dyDescent="0.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spans="1:26" ht="12.75" customHeight="1" x14ac:dyDescent="0.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spans="1:26" ht="12.75" customHeight="1" x14ac:dyDescent="0.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spans="1:26" ht="12.75" customHeight="1" x14ac:dyDescent="0.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spans="1:26" ht="12.75" customHeight="1" x14ac:dyDescent="0.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spans="1:26" ht="12.75" customHeight="1" x14ac:dyDescent="0.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spans="1:26" ht="12.75" customHeight="1" x14ac:dyDescent="0.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spans="1:26" ht="12.75" customHeight="1" x14ac:dyDescent="0.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spans="1:26" ht="12.75" customHeight="1" x14ac:dyDescent="0.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spans="1:26" ht="12.75" customHeight="1" x14ac:dyDescent="0.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spans="1:26" ht="12.75" customHeight="1" x14ac:dyDescent="0.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spans="1:26" ht="12.75" customHeight="1" x14ac:dyDescent="0.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spans="1:26" ht="12.75" customHeight="1" x14ac:dyDescent="0.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spans="1:26" ht="12.75" customHeight="1" x14ac:dyDescent="0.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spans="1:26" ht="12.75" customHeight="1" x14ac:dyDescent="0.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spans="1:26" ht="12.75" customHeight="1" x14ac:dyDescent="0.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spans="1:26" ht="12.75" customHeight="1" x14ac:dyDescent="0.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spans="1:26" ht="12.75" customHeight="1" x14ac:dyDescent="0.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spans="1:26" ht="12.75" customHeight="1" x14ac:dyDescent="0.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spans="1:26" ht="12.75" customHeight="1" x14ac:dyDescent="0.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spans="1:26" ht="12.75" customHeight="1" x14ac:dyDescent="0.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spans="1:26" ht="12.75" customHeight="1" x14ac:dyDescent="0.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1:26" ht="12.75" customHeight="1" x14ac:dyDescent="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1:26" ht="12.75" customHeight="1" x14ac:dyDescent="0.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2.75" customHeight="1" x14ac:dyDescent="0.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2.75" customHeight="1" x14ac:dyDescent="0.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2.75" customHeight="1" x14ac:dyDescent="0.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2.75" customHeight="1" x14ac:dyDescent="0.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2.75" customHeight="1" x14ac:dyDescent="0.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2.75" customHeight="1" x14ac:dyDescent="0.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2.75" customHeight="1" x14ac:dyDescent="0.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2.75" customHeight="1" x14ac:dyDescent="0.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2.75" customHeight="1" x14ac:dyDescent="0.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2.75" customHeight="1" x14ac:dyDescent="0.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2.75" customHeight="1" x14ac:dyDescent="0.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2.75" customHeight="1" x14ac:dyDescent="0.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2.75" customHeight="1" x14ac:dyDescent="0.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2.75" customHeight="1" x14ac:dyDescent="0.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2.75" customHeight="1" x14ac:dyDescent="0.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2.75" customHeight="1" x14ac:dyDescent="0.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2.75" customHeight="1" x14ac:dyDescent="0.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2.75" customHeight="1" x14ac:dyDescent="0.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2.75" customHeight="1" x14ac:dyDescent="0.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2.75" customHeight="1" x14ac:dyDescent="0.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2.75" customHeight="1" x14ac:dyDescent="0.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2.75" customHeight="1" x14ac:dyDescent="0.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2.75" customHeight="1" x14ac:dyDescent="0.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2.75" customHeight="1" x14ac:dyDescent="0.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2.75" customHeight="1" x14ac:dyDescent="0.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2.75" customHeight="1" x14ac:dyDescent="0.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2.75" customHeight="1" x14ac:dyDescent="0.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2.75" customHeight="1" x14ac:dyDescent="0.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2.75" customHeight="1" x14ac:dyDescent="0.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2.75" customHeight="1" x14ac:dyDescent="0.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2.75" customHeight="1" x14ac:dyDescent="0.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2.75" customHeight="1" x14ac:dyDescent="0.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2.75" customHeight="1" x14ac:dyDescent="0.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2.75" customHeight="1" x14ac:dyDescent="0.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2.75" customHeight="1" x14ac:dyDescent="0.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2.75" customHeight="1" x14ac:dyDescent="0.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2.75" customHeight="1" x14ac:dyDescent="0.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2.75" customHeight="1" x14ac:dyDescent="0.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2.75" customHeight="1" x14ac:dyDescent="0.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2.75" customHeight="1" x14ac:dyDescent="0.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2.75" customHeight="1" x14ac:dyDescent="0.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2.75" customHeight="1" x14ac:dyDescent="0.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2.75" customHeight="1" x14ac:dyDescent="0.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2.75" customHeight="1" x14ac:dyDescent="0.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2.75" customHeight="1" x14ac:dyDescent="0.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2.75" customHeight="1" x14ac:dyDescent="0.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2.75" customHeight="1" x14ac:dyDescent="0.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2.75" customHeight="1" x14ac:dyDescent="0.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2.75" customHeight="1" x14ac:dyDescent="0.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2.75" customHeight="1" x14ac:dyDescent="0.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2.75" customHeight="1" x14ac:dyDescent="0.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2.75" customHeight="1" x14ac:dyDescent="0.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2.75" customHeight="1" x14ac:dyDescent="0.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2.75" customHeight="1" x14ac:dyDescent="0.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2.75" customHeight="1" x14ac:dyDescent="0.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2.75" customHeight="1" x14ac:dyDescent="0.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2.75" customHeight="1" x14ac:dyDescent="0.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2.75" customHeight="1" x14ac:dyDescent="0.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2.75" customHeight="1" x14ac:dyDescent="0.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2.75" customHeight="1" x14ac:dyDescent="0.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2.75" customHeight="1" x14ac:dyDescent="0.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2.75" customHeight="1" x14ac:dyDescent="0.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2.75" customHeight="1" x14ac:dyDescent="0.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2.75" customHeight="1" x14ac:dyDescent="0.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2.75" customHeight="1" x14ac:dyDescent="0.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2.75" customHeight="1" x14ac:dyDescent="0.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2.75" customHeight="1" x14ac:dyDescent="0.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2.75" customHeight="1" x14ac:dyDescent="0.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2.75" customHeight="1" x14ac:dyDescent="0.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2.75" customHeight="1" x14ac:dyDescent="0.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2.75" customHeight="1" x14ac:dyDescent="0.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2.75" customHeight="1" x14ac:dyDescent="0.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2.75" customHeight="1" x14ac:dyDescent="0.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2.75" customHeight="1" x14ac:dyDescent="0.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2.75" customHeight="1" x14ac:dyDescent="0.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2.75" customHeight="1" x14ac:dyDescent="0.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2.75" customHeight="1" x14ac:dyDescent="0.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2.75" customHeight="1" x14ac:dyDescent="0.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2.75" customHeight="1" x14ac:dyDescent="0.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2.75" customHeight="1" x14ac:dyDescent="0.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2.75" customHeight="1" x14ac:dyDescent="0.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2.75" customHeight="1" x14ac:dyDescent="0.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2.75" customHeight="1" x14ac:dyDescent="0.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2.75" customHeight="1" x14ac:dyDescent="0.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2.75" customHeight="1" x14ac:dyDescent="0.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2.75" customHeight="1" x14ac:dyDescent="0.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2.75" customHeight="1" x14ac:dyDescent="0.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2.75" customHeight="1" x14ac:dyDescent="0.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2.75" customHeight="1" x14ac:dyDescent="0.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2.75" customHeight="1" x14ac:dyDescent="0.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2.75" customHeight="1" x14ac:dyDescent="0.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2.75" customHeight="1" x14ac:dyDescent="0.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2.75" customHeight="1" x14ac:dyDescent="0.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2.75" customHeight="1" x14ac:dyDescent="0.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2.75" customHeight="1" x14ac:dyDescent="0.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2.75" customHeight="1" x14ac:dyDescent="0.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2.75" customHeight="1" x14ac:dyDescent="0.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2.75" customHeight="1" x14ac:dyDescent="0.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2.75" customHeight="1" x14ac:dyDescent="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2.75" customHeight="1" x14ac:dyDescent="0.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2.75" customHeight="1" x14ac:dyDescent="0.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2.75" customHeight="1" x14ac:dyDescent="0.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2.75" customHeight="1" x14ac:dyDescent="0.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2.75" customHeight="1" x14ac:dyDescent="0.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2.75" customHeight="1" x14ac:dyDescent="0.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2.75" customHeight="1" x14ac:dyDescent="0.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2.75" customHeight="1" x14ac:dyDescent="0.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2.75" customHeight="1" x14ac:dyDescent="0.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2.75" customHeight="1" x14ac:dyDescent="0.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2.75" customHeight="1" x14ac:dyDescent="0.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2.75" customHeight="1" x14ac:dyDescent="0.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2.75" customHeight="1" x14ac:dyDescent="0.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2.75" customHeight="1" x14ac:dyDescent="0.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2.75" customHeight="1" x14ac:dyDescent="0.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2.75" customHeight="1" x14ac:dyDescent="0.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2.75" customHeight="1" x14ac:dyDescent="0.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2.75" customHeight="1" x14ac:dyDescent="0.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2.75" customHeight="1" x14ac:dyDescent="0.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2.75" customHeight="1" x14ac:dyDescent="0.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2.75" customHeight="1" x14ac:dyDescent="0.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2.75" customHeight="1" x14ac:dyDescent="0.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2.75" customHeight="1" x14ac:dyDescent="0.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2.75" customHeight="1" x14ac:dyDescent="0.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2.75" customHeight="1" x14ac:dyDescent="0.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2.75" customHeight="1" x14ac:dyDescent="0.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2.75" customHeight="1" x14ac:dyDescent="0.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2.75" customHeight="1" x14ac:dyDescent="0.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2.75" customHeight="1" x14ac:dyDescent="0.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2.75" customHeight="1" x14ac:dyDescent="0.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2.75" customHeight="1" x14ac:dyDescent="0.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2.75" customHeight="1" x14ac:dyDescent="0.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2.75" customHeight="1" x14ac:dyDescent="0.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2.75" customHeight="1" x14ac:dyDescent="0.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2.75" customHeight="1" x14ac:dyDescent="0.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2.75" customHeight="1" x14ac:dyDescent="0.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2.75" customHeight="1" x14ac:dyDescent="0.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2.75" customHeight="1" x14ac:dyDescent="0.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2.75" customHeight="1" x14ac:dyDescent="0.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2.75" customHeight="1" x14ac:dyDescent="0.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2.75" customHeight="1" x14ac:dyDescent="0.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2.75" customHeight="1" x14ac:dyDescent="0.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2.75" customHeight="1" x14ac:dyDescent="0.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2.75" customHeight="1" x14ac:dyDescent="0.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2.75" customHeight="1" x14ac:dyDescent="0.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2.75" customHeight="1" x14ac:dyDescent="0.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2.75" customHeight="1" x14ac:dyDescent="0.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2.75" customHeight="1" x14ac:dyDescent="0.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2.75" customHeight="1" x14ac:dyDescent="0.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2.75" customHeight="1" x14ac:dyDescent="0.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2.75" customHeight="1" x14ac:dyDescent="0.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2.75" customHeight="1" x14ac:dyDescent="0.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2.75" customHeight="1" x14ac:dyDescent="0.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2.75" customHeight="1" x14ac:dyDescent="0.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2.75" customHeight="1" x14ac:dyDescent="0.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2.75" customHeight="1" x14ac:dyDescent="0.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2.75" customHeight="1" x14ac:dyDescent="0.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2.75" customHeight="1" x14ac:dyDescent="0.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2.75" customHeight="1" x14ac:dyDescent="0.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2.75" customHeight="1" x14ac:dyDescent="0.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2.75" customHeight="1" x14ac:dyDescent="0.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2.75" customHeight="1" x14ac:dyDescent="0.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2.75" customHeight="1" x14ac:dyDescent="0.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2.75" customHeight="1" x14ac:dyDescent="0.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2.75" customHeight="1" x14ac:dyDescent="0.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2.75" customHeight="1" x14ac:dyDescent="0.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2.75" customHeight="1" x14ac:dyDescent="0.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2.75" customHeight="1" x14ac:dyDescent="0.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2.75" customHeight="1" x14ac:dyDescent="0.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2.75" customHeight="1" x14ac:dyDescent="0.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2.75" customHeight="1" x14ac:dyDescent="0.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2.75" customHeight="1" x14ac:dyDescent="0.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2.75" customHeight="1" x14ac:dyDescent="0.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2.75" customHeight="1" x14ac:dyDescent="0.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2.75" customHeight="1" x14ac:dyDescent="0.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2.75" customHeight="1" x14ac:dyDescent="0.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2.75" customHeight="1" x14ac:dyDescent="0.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2.75" customHeight="1" x14ac:dyDescent="0.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2.75" customHeight="1" x14ac:dyDescent="0.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2.75" customHeight="1" x14ac:dyDescent="0.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2.75" customHeight="1" x14ac:dyDescent="0.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2.75" customHeight="1" x14ac:dyDescent="0.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2.75" customHeight="1" x14ac:dyDescent="0.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2.75" customHeight="1" x14ac:dyDescent="0.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2.75" customHeight="1" x14ac:dyDescent="0.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2.75" customHeight="1" x14ac:dyDescent="0.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2.75" customHeight="1" x14ac:dyDescent="0.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2.75" customHeight="1" x14ac:dyDescent="0.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2.75" customHeight="1" x14ac:dyDescent="0.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2.75" customHeight="1" x14ac:dyDescent="0.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2.75" customHeight="1" x14ac:dyDescent="0.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2.75" customHeight="1" x14ac:dyDescent="0.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2.75" customHeight="1" x14ac:dyDescent="0.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2.75" customHeight="1" x14ac:dyDescent="0.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2.75" customHeight="1" x14ac:dyDescent="0.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2.75" customHeight="1" x14ac:dyDescent="0.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2.75" customHeight="1" x14ac:dyDescent="0.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2.75" customHeight="1" x14ac:dyDescent="0.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2.75" customHeight="1" x14ac:dyDescent="0.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2.75" customHeight="1" x14ac:dyDescent="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2.75" customHeight="1" x14ac:dyDescent="0.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2.75" customHeight="1" x14ac:dyDescent="0.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2.75" customHeight="1" x14ac:dyDescent="0.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2.75" customHeight="1" x14ac:dyDescent="0.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2.75" customHeight="1" x14ac:dyDescent="0.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2.75" customHeight="1" x14ac:dyDescent="0.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2.75" customHeight="1" x14ac:dyDescent="0.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2.75" customHeight="1" x14ac:dyDescent="0.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2.75" customHeight="1" x14ac:dyDescent="0.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2.75" customHeight="1" x14ac:dyDescent="0.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2.75" customHeight="1" x14ac:dyDescent="0.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2.75" customHeight="1" x14ac:dyDescent="0.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2.75" customHeight="1" x14ac:dyDescent="0.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2.75" customHeight="1" x14ac:dyDescent="0.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2.75" customHeight="1" x14ac:dyDescent="0.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2.75" customHeight="1" x14ac:dyDescent="0.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2.75" customHeight="1" x14ac:dyDescent="0.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2.75" customHeight="1" x14ac:dyDescent="0.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2.75" customHeight="1" x14ac:dyDescent="0.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2.75" customHeight="1" x14ac:dyDescent="0.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2.75" customHeight="1" x14ac:dyDescent="0.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2.75" customHeight="1" x14ac:dyDescent="0.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2.75" customHeight="1" x14ac:dyDescent="0.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2.75" customHeight="1" x14ac:dyDescent="0.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2.75" customHeight="1" x14ac:dyDescent="0.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2.75" customHeight="1" x14ac:dyDescent="0.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2.75" customHeight="1" x14ac:dyDescent="0.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2.75" customHeight="1" x14ac:dyDescent="0.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2.75" customHeight="1" x14ac:dyDescent="0.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2.75" customHeight="1" x14ac:dyDescent="0.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2.75" customHeight="1" x14ac:dyDescent="0.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2.75" customHeight="1" x14ac:dyDescent="0.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2.75" customHeight="1" x14ac:dyDescent="0.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2.75" customHeight="1" x14ac:dyDescent="0.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2.75" customHeight="1" x14ac:dyDescent="0.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2.75" customHeight="1" x14ac:dyDescent="0.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2.75" customHeight="1" x14ac:dyDescent="0.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2.75" customHeight="1" x14ac:dyDescent="0.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2.75" customHeight="1" x14ac:dyDescent="0.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2.75" customHeight="1" x14ac:dyDescent="0.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2.75" customHeight="1" x14ac:dyDescent="0.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2.75" customHeight="1" x14ac:dyDescent="0.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2.75" customHeight="1" x14ac:dyDescent="0.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2.75" customHeight="1" x14ac:dyDescent="0.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2.75" customHeight="1" x14ac:dyDescent="0.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2.75" customHeight="1" x14ac:dyDescent="0.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2.75" customHeight="1" x14ac:dyDescent="0.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2.75" customHeight="1" x14ac:dyDescent="0.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2.75" customHeight="1" x14ac:dyDescent="0.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2.75" customHeight="1" x14ac:dyDescent="0.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2.75" customHeight="1" x14ac:dyDescent="0.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2.75" customHeight="1" x14ac:dyDescent="0.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2.75" customHeight="1" x14ac:dyDescent="0.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2.75" customHeight="1" x14ac:dyDescent="0.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2.75" customHeight="1" x14ac:dyDescent="0.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2.75" customHeight="1" x14ac:dyDescent="0.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2.75" customHeight="1" x14ac:dyDescent="0.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2.75" customHeight="1" x14ac:dyDescent="0.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2.75" customHeight="1" x14ac:dyDescent="0.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2.75" customHeight="1" x14ac:dyDescent="0.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2.75" customHeight="1" x14ac:dyDescent="0.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2.75" customHeight="1" x14ac:dyDescent="0.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2.75" customHeight="1" x14ac:dyDescent="0.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2.75" customHeight="1" x14ac:dyDescent="0.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2.75" customHeight="1" x14ac:dyDescent="0.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2.75" customHeight="1" x14ac:dyDescent="0.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2.75" customHeight="1" x14ac:dyDescent="0.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2.75" customHeight="1" x14ac:dyDescent="0.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2.75" customHeight="1" x14ac:dyDescent="0.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2.75" customHeight="1" x14ac:dyDescent="0.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2.75" customHeight="1" x14ac:dyDescent="0.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2.75" customHeight="1" x14ac:dyDescent="0.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2.75" customHeight="1" x14ac:dyDescent="0.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2.75" customHeight="1" x14ac:dyDescent="0.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2.75" customHeight="1" x14ac:dyDescent="0.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2.75" customHeight="1" x14ac:dyDescent="0.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2.75" customHeight="1" x14ac:dyDescent="0.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2.75" customHeight="1" x14ac:dyDescent="0.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2.75" customHeight="1" x14ac:dyDescent="0.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2.75" customHeight="1" x14ac:dyDescent="0.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2.75" customHeight="1" x14ac:dyDescent="0.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2.75" customHeight="1" x14ac:dyDescent="0.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2.75" customHeight="1" x14ac:dyDescent="0.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2.75" customHeight="1" x14ac:dyDescent="0.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2.75" customHeight="1" x14ac:dyDescent="0.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2.75" customHeight="1" x14ac:dyDescent="0.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2.75" customHeight="1" x14ac:dyDescent="0.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2.75" customHeight="1" x14ac:dyDescent="0.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2.75" customHeight="1" x14ac:dyDescent="0.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2.75" customHeight="1" x14ac:dyDescent="0.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2.75" customHeight="1" x14ac:dyDescent="0.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2.75" customHeight="1" x14ac:dyDescent="0.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2.75" customHeight="1" x14ac:dyDescent="0.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2.75" customHeight="1" x14ac:dyDescent="0.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2.75" customHeight="1" x14ac:dyDescent="0.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2.75" customHeight="1" x14ac:dyDescent="0.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2.75" customHeight="1" x14ac:dyDescent="0.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2.75" customHeight="1" x14ac:dyDescent="0.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2.75" customHeight="1" x14ac:dyDescent="0.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2.75" customHeight="1" x14ac:dyDescent="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2.75" customHeight="1" x14ac:dyDescent="0.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2.75" customHeight="1" x14ac:dyDescent="0.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2.75" customHeight="1" x14ac:dyDescent="0.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2.75" customHeight="1" x14ac:dyDescent="0.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2.75" customHeight="1" x14ac:dyDescent="0.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2.75" customHeight="1" x14ac:dyDescent="0.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2.75" customHeight="1" x14ac:dyDescent="0.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2.75" customHeight="1" x14ac:dyDescent="0.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2.75" customHeight="1" x14ac:dyDescent="0.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2.75" customHeight="1" x14ac:dyDescent="0.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2.75" customHeight="1" x14ac:dyDescent="0.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2.75" customHeight="1" x14ac:dyDescent="0.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2.75" customHeight="1" x14ac:dyDescent="0.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2.75" customHeight="1" x14ac:dyDescent="0.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2.75" customHeight="1" x14ac:dyDescent="0.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2.75" customHeight="1" x14ac:dyDescent="0.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2.75" customHeight="1" x14ac:dyDescent="0.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2.75" customHeight="1" x14ac:dyDescent="0.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2.75" customHeight="1" x14ac:dyDescent="0.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2.75" customHeight="1" x14ac:dyDescent="0.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2.75" customHeight="1" x14ac:dyDescent="0.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2.75" customHeight="1" x14ac:dyDescent="0.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2.75" customHeight="1" x14ac:dyDescent="0.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2.75" customHeight="1" x14ac:dyDescent="0.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2.75" customHeight="1" x14ac:dyDescent="0.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2.75" customHeight="1" x14ac:dyDescent="0.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2.75" customHeight="1" x14ac:dyDescent="0.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2.75" customHeight="1" x14ac:dyDescent="0.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2.75" customHeight="1" x14ac:dyDescent="0.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2.75" customHeight="1" x14ac:dyDescent="0.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2.75" customHeight="1" x14ac:dyDescent="0.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2.75" customHeight="1" x14ac:dyDescent="0.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2.75" customHeight="1" x14ac:dyDescent="0.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2.75" customHeight="1" x14ac:dyDescent="0.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2.75" customHeight="1" x14ac:dyDescent="0.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2.75" customHeight="1" x14ac:dyDescent="0.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2.75" customHeight="1" x14ac:dyDescent="0.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2.75" customHeight="1" x14ac:dyDescent="0.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2.75" customHeight="1" x14ac:dyDescent="0.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2.75" customHeight="1" x14ac:dyDescent="0.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2.75" customHeight="1" x14ac:dyDescent="0.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2.75" customHeight="1" x14ac:dyDescent="0.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2.75" customHeight="1" x14ac:dyDescent="0.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2.75" customHeight="1" x14ac:dyDescent="0.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2.75" customHeight="1" x14ac:dyDescent="0.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2.75" customHeight="1" x14ac:dyDescent="0.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2.75" customHeight="1" x14ac:dyDescent="0.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2.75" customHeight="1" x14ac:dyDescent="0.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2.75" customHeight="1" x14ac:dyDescent="0.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2.75" customHeight="1" x14ac:dyDescent="0.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2.75" customHeight="1" x14ac:dyDescent="0.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2.75" customHeight="1" x14ac:dyDescent="0.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2.75" customHeight="1" x14ac:dyDescent="0.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2.75" customHeight="1" x14ac:dyDescent="0.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2.75" customHeight="1" x14ac:dyDescent="0.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2.75" customHeight="1" x14ac:dyDescent="0.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2.75" customHeight="1" x14ac:dyDescent="0.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2.75" customHeight="1" x14ac:dyDescent="0.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2.75" customHeight="1" x14ac:dyDescent="0.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2.75" customHeight="1" x14ac:dyDescent="0.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2.75" customHeight="1" x14ac:dyDescent="0.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2.75" customHeight="1" x14ac:dyDescent="0.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2.75" customHeight="1" x14ac:dyDescent="0.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2.75" customHeight="1" x14ac:dyDescent="0.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2.75" customHeight="1" x14ac:dyDescent="0.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2.75" customHeight="1" x14ac:dyDescent="0.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2.75" customHeight="1" x14ac:dyDescent="0.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2.75" customHeight="1" x14ac:dyDescent="0.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2.75" customHeight="1" x14ac:dyDescent="0.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2.75" customHeight="1" x14ac:dyDescent="0.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2.75" customHeight="1" x14ac:dyDescent="0.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2.75" customHeight="1" x14ac:dyDescent="0.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2.75" customHeight="1" x14ac:dyDescent="0.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2.75" customHeight="1" x14ac:dyDescent="0.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2.75" customHeight="1" x14ac:dyDescent="0.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2.75" customHeight="1" x14ac:dyDescent="0.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2.75" customHeight="1" x14ac:dyDescent="0.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2.75" customHeight="1" x14ac:dyDescent="0.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2.75" customHeight="1" x14ac:dyDescent="0.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2.75" customHeight="1" x14ac:dyDescent="0.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2.75" customHeight="1" x14ac:dyDescent="0.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2.75" customHeight="1" x14ac:dyDescent="0.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2.75" customHeight="1" x14ac:dyDescent="0.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2.75" customHeight="1" x14ac:dyDescent="0.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2.75" customHeight="1" x14ac:dyDescent="0.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2.75" customHeight="1" x14ac:dyDescent="0.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2.75" customHeight="1" x14ac:dyDescent="0.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2.75" customHeight="1" x14ac:dyDescent="0.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2.75" customHeight="1" x14ac:dyDescent="0.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2.75" customHeight="1" x14ac:dyDescent="0.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2.75" customHeight="1" x14ac:dyDescent="0.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2.75" customHeight="1" x14ac:dyDescent="0.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2.75" customHeight="1" x14ac:dyDescent="0.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2.75" customHeight="1" x14ac:dyDescent="0.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2.75" customHeight="1" x14ac:dyDescent="0.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2.75" customHeight="1" x14ac:dyDescent="0.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2.75" customHeight="1" x14ac:dyDescent="0.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2.75" customHeight="1" x14ac:dyDescent="0.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2.75" customHeight="1" x14ac:dyDescent="0.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2.75" customHeight="1" x14ac:dyDescent="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2.75" customHeight="1" x14ac:dyDescent="0.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2.75" customHeight="1" x14ac:dyDescent="0.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2.75" customHeight="1" x14ac:dyDescent="0.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2.75" customHeight="1" x14ac:dyDescent="0.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2.75" customHeight="1" x14ac:dyDescent="0.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2.75" customHeight="1" x14ac:dyDescent="0.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2.75" customHeight="1" x14ac:dyDescent="0.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2.75" customHeight="1" x14ac:dyDescent="0.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2.75" customHeight="1" x14ac:dyDescent="0.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2.75" customHeight="1" x14ac:dyDescent="0.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2.75" customHeight="1" x14ac:dyDescent="0.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2.75" customHeight="1" x14ac:dyDescent="0.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2.75" customHeight="1" x14ac:dyDescent="0.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2.75" customHeight="1" x14ac:dyDescent="0.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2.75" customHeight="1" x14ac:dyDescent="0.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2.75" customHeight="1" x14ac:dyDescent="0.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2.75" customHeight="1" x14ac:dyDescent="0.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2.75" customHeight="1" x14ac:dyDescent="0.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2.75" customHeight="1" x14ac:dyDescent="0.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2.75" customHeight="1" x14ac:dyDescent="0.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2.75" customHeight="1" x14ac:dyDescent="0.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2.75" customHeight="1" x14ac:dyDescent="0.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2.75" customHeight="1" x14ac:dyDescent="0.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2.75" customHeight="1" x14ac:dyDescent="0.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2.75" customHeight="1" x14ac:dyDescent="0.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2.75" customHeight="1" x14ac:dyDescent="0.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2.75" customHeight="1" x14ac:dyDescent="0.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2.75" customHeight="1" x14ac:dyDescent="0.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2.75" customHeight="1" x14ac:dyDescent="0.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2.75" customHeight="1" x14ac:dyDescent="0.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2.75" customHeight="1" x14ac:dyDescent="0.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2.75" customHeight="1" x14ac:dyDescent="0.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2.75" customHeight="1" x14ac:dyDescent="0.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2.75" customHeight="1" x14ac:dyDescent="0.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2.75" customHeight="1" x14ac:dyDescent="0.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2.75" customHeight="1" x14ac:dyDescent="0.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2.75" customHeight="1" x14ac:dyDescent="0.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2.75" customHeight="1" x14ac:dyDescent="0.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2.75" customHeight="1" x14ac:dyDescent="0.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2.75" customHeight="1" x14ac:dyDescent="0.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2.75" customHeight="1" x14ac:dyDescent="0.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2.75" customHeight="1" x14ac:dyDescent="0.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2.75" customHeight="1" x14ac:dyDescent="0.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2.75" customHeight="1" x14ac:dyDescent="0.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2.75" customHeight="1" x14ac:dyDescent="0.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2.75" customHeight="1" x14ac:dyDescent="0.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2.75" customHeight="1" x14ac:dyDescent="0.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2.75" customHeight="1" x14ac:dyDescent="0.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2.75" customHeight="1" x14ac:dyDescent="0.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2.75" customHeight="1" x14ac:dyDescent="0.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2.75" customHeight="1" x14ac:dyDescent="0.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2.75" customHeight="1" x14ac:dyDescent="0.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2.75" customHeight="1" x14ac:dyDescent="0.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2.75" customHeight="1" x14ac:dyDescent="0.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2.75" customHeight="1" x14ac:dyDescent="0.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2.75" customHeight="1" x14ac:dyDescent="0.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2.75" customHeight="1" x14ac:dyDescent="0.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2.75" customHeight="1" x14ac:dyDescent="0.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2.75" customHeight="1" x14ac:dyDescent="0.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2.75" customHeight="1" x14ac:dyDescent="0.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2.75" customHeight="1" x14ac:dyDescent="0.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2.75" customHeight="1" x14ac:dyDescent="0.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2.75" customHeight="1" x14ac:dyDescent="0.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2.75" customHeight="1" x14ac:dyDescent="0.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2.75" customHeight="1" x14ac:dyDescent="0.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2.75" customHeight="1" x14ac:dyDescent="0.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2.75" customHeight="1" x14ac:dyDescent="0.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2.75" customHeight="1" x14ac:dyDescent="0.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2.75" customHeight="1" x14ac:dyDescent="0.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2.75" customHeight="1" x14ac:dyDescent="0.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2.75" customHeight="1" x14ac:dyDescent="0.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2.75" customHeight="1" x14ac:dyDescent="0.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2.75" customHeight="1" x14ac:dyDescent="0.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2.75" customHeight="1" x14ac:dyDescent="0.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2.75" customHeight="1" x14ac:dyDescent="0.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2.75" customHeight="1" x14ac:dyDescent="0.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2.75" customHeight="1" x14ac:dyDescent="0.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2.75" customHeight="1" x14ac:dyDescent="0.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2.75" customHeight="1" x14ac:dyDescent="0.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2.75" customHeight="1" x14ac:dyDescent="0.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2.75" customHeight="1" x14ac:dyDescent="0.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2.75" customHeight="1" x14ac:dyDescent="0.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2.75" customHeight="1" x14ac:dyDescent="0.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2.75" customHeight="1" x14ac:dyDescent="0.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2.75" customHeight="1" x14ac:dyDescent="0.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2.75" customHeight="1" x14ac:dyDescent="0.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2.75" customHeight="1" x14ac:dyDescent="0.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2.75" customHeight="1" x14ac:dyDescent="0.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2.75" customHeight="1" x14ac:dyDescent="0.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2.75" customHeight="1" x14ac:dyDescent="0.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2.75" customHeight="1" x14ac:dyDescent="0.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2.75" customHeight="1" x14ac:dyDescent="0.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2.75" customHeight="1" x14ac:dyDescent="0.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2.75" customHeight="1" x14ac:dyDescent="0.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2.75" customHeight="1" x14ac:dyDescent="0.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2.75" customHeight="1" x14ac:dyDescent="0.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2.75" customHeight="1" x14ac:dyDescent="0.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2.75" customHeight="1" x14ac:dyDescent="0.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2.75" customHeight="1" x14ac:dyDescent="0.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2.75" customHeight="1" x14ac:dyDescent="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2.75" customHeight="1" x14ac:dyDescent="0.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2.75" customHeight="1" x14ac:dyDescent="0.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2.75" customHeight="1" x14ac:dyDescent="0.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2.75" customHeight="1" x14ac:dyDescent="0.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2.75" customHeight="1" x14ac:dyDescent="0.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2.75" customHeight="1" x14ac:dyDescent="0.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2.75" customHeight="1" x14ac:dyDescent="0.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2.75" customHeight="1" x14ac:dyDescent="0.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2.75" customHeight="1" x14ac:dyDescent="0.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spans="1:26" ht="12.75" customHeight="1" x14ac:dyDescent="0.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spans="1:26" ht="12.75" customHeight="1" x14ac:dyDescent="0.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spans="1:26" ht="12.75" customHeight="1" x14ac:dyDescent="0.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spans="1:26" ht="12.75" customHeight="1" x14ac:dyDescent="0.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spans="1:26" ht="12.75" customHeight="1" x14ac:dyDescent="0.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spans="1:26" ht="12.75" customHeight="1" x14ac:dyDescent="0.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spans="1:26" ht="12.75" customHeight="1" x14ac:dyDescent="0.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spans="1:26" ht="12.75" customHeight="1" x14ac:dyDescent="0.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spans="1:26" ht="12.75" customHeight="1" x14ac:dyDescent="0.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spans="1:26" ht="12.75" customHeight="1" x14ac:dyDescent="0.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spans="1:26" ht="12.75" customHeight="1" x14ac:dyDescent="0.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spans="1:26" ht="12.75" customHeight="1" x14ac:dyDescent="0.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spans="1:26" ht="12.75" customHeight="1" x14ac:dyDescent="0.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spans="1:26" ht="12.75" customHeight="1" x14ac:dyDescent="0.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spans="1:26" ht="12.75" customHeight="1" x14ac:dyDescent="0.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spans="1:26" ht="12.75" customHeight="1" x14ac:dyDescent="0.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spans="1:26" ht="12.75" customHeight="1" x14ac:dyDescent="0.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spans="1:26" ht="12.75" customHeight="1" x14ac:dyDescent="0.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spans="1:26" ht="12.75" customHeight="1" x14ac:dyDescent="0.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spans="1:26" ht="12.75" customHeight="1" x14ac:dyDescent="0.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spans="1:26" ht="12.75" customHeight="1" x14ac:dyDescent="0.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spans="1:26" ht="12.75" customHeight="1" x14ac:dyDescent="0.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spans="1:26" ht="12.75" customHeight="1" x14ac:dyDescent="0.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spans="1:26" ht="12.75" customHeight="1" x14ac:dyDescent="0.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spans="1:26" ht="12.75" customHeight="1" x14ac:dyDescent="0.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spans="1:26" ht="12.75" customHeight="1" x14ac:dyDescent="0.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spans="1:26" ht="12.75" customHeight="1" x14ac:dyDescent="0.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spans="1:26" ht="12.75" customHeight="1" x14ac:dyDescent="0.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spans="1:26" ht="12.75" customHeight="1" x14ac:dyDescent="0.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spans="1:26" ht="12.75" customHeight="1" x14ac:dyDescent="0.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spans="1:26" ht="12.75" customHeight="1" x14ac:dyDescent="0.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spans="1:26" ht="12.75" customHeight="1" x14ac:dyDescent="0.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spans="1:26" ht="12.75" customHeight="1" x14ac:dyDescent="0.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spans="1:26" ht="12.75" customHeight="1" x14ac:dyDescent="0.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spans="1:26" ht="12.75" customHeight="1" x14ac:dyDescent="0.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spans="1:26" ht="12.75" customHeight="1" x14ac:dyDescent="0.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spans="1:26" ht="12.75" customHeight="1" x14ac:dyDescent="0.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spans="1:26" ht="12.75" customHeight="1" x14ac:dyDescent="0.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spans="1:26" ht="12.75" customHeight="1" x14ac:dyDescent="0.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spans="1:26" ht="12.75" customHeight="1" x14ac:dyDescent="0.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spans="1:26" ht="12.75" customHeight="1" x14ac:dyDescent="0.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spans="1:26" ht="12.75" customHeight="1" x14ac:dyDescent="0.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spans="1:26" ht="12.75" customHeight="1" x14ac:dyDescent="0.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spans="1:26" ht="12.75" customHeight="1" x14ac:dyDescent="0.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spans="1:26" ht="12.75" customHeight="1" x14ac:dyDescent="0.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spans="1:26" ht="12.75" customHeight="1" x14ac:dyDescent="0.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spans="1:26" ht="12.75" customHeight="1" x14ac:dyDescent="0.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spans="1:26" ht="12.75" customHeight="1" x14ac:dyDescent="0.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spans="1:26" ht="12.75" customHeight="1" x14ac:dyDescent="0.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spans="1:26" ht="12.75" customHeight="1" x14ac:dyDescent="0.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spans="1:26" ht="12.75" customHeight="1" x14ac:dyDescent="0.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spans="1:26" ht="12.75" customHeight="1" x14ac:dyDescent="0.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spans="1:26" ht="12.75" customHeight="1" x14ac:dyDescent="0.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spans="1:26" ht="12.75" customHeight="1" x14ac:dyDescent="0.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spans="1:26" ht="12.75" customHeight="1" x14ac:dyDescent="0.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spans="1:26" ht="12.75" customHeight="1" x14ac:dyDescent="0.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spans="1:26" ht="12.75" customHeight="1" x14ac:dyDescent="0.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spans="1:26" ht="12.75" customHeight="1" x14ac:dyDescent="0.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spans="1:26" ht="12.75" customHeight="1" x14ac:dyDescent="0.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spans="1:26" ht="12.75" customHeight="1" x14ac:dyDescent="0.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spans="1:26" ht="12.75" customHeight="1" x14ac:dyDescent="0.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spans="1:26" ht="12.75" customHeight="1" x14ac:dyDescent="0.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spans="1:26" ht="12.75" customHeight="1" x14ac:dyDescent="0.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spans="1:26" ht="12.75" customHeight="1" x14ac:dyDescent="0.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spans="1:26" ht="12.75" customHeight="1" x14ac:dyDescent="0.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spans="1:26" ht="12.75" customHeight="1" x14ac:dyDescent="0.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spans="1:26" ht="12.75" customHeight="1" x14ac:dyDescent="0.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spans="1:26" ht="12.75" customHeight="1" x14ac:dyDescent="0.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spans="1:26" ht="12.75" customHeight="1" x14ac:dyDescent="0.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spans="1:26" ht="12.75" customHeight="1" x14ac:dyDescent="0.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spans="1:26" ht="12.75" customHeight="1" x14ac:dyDescent="0.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spans="1:26" ht="12.75" customHeight="1" x14ac:dyDescent="0.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spans="1:26" ht="12.75" customHeight="1" x14ac:dyDescent="0.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spans="1:26" ht="12.75" customHeight="1" x14ac:dyDescent="0.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spans="1:26" ht="12.75" customHeight="1" x14ac:dyDescent="0.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spans="1:26" ht="12.75" customHeight="1" x14ac:dyDescent="0.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spans="1:26" ht="12.75" customHeight="1" x14ac:dyDescent="0.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spans="1:26" ht="12.75" customHeight="1" x14ac:dyDescent="0.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spans="1:26" ht="12.75" customHeight="1" x14ac:dyDescent="0.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spans="1:26" ht="12.75" customHeight="1" x14ac:dyDescent="0.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spans="1:26" ht="12.75" customHeight="1" x14ac:dyDescent="0.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spans="1:26" ht="12.75" customHeight="1" x14ac:dyDescent="0.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spans="1:26" ht="12.75" customHeight="1" x14ac:dyDescent="0.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spans="1:26" ht="12.75" customHeight="1" x14ac:dyDescent="0.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spans="1:26" ht="12.75" customHeight="1" x14ac:dyDescent="0.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spans="1:26" ht="12.75" customHeight="1" x14ac:dyDescent="0.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spans="1:26" ht="12.75" customHeight="1" x14ac:dyDescent="0.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spans="1:26" ht="12.75" customHeight="1" x14ac:dyDescent="0.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spans="1:26" ht="12.75" customHeight="1" x14ac:dyDescent="0.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spans="1:26" ht="12.75" customHeight="1" x14ac:dyDescent="0.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spans="1:26" ht="12.75" customHeight="1" x14ac:dyDescent="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spans="1:26" ht="12.75" customHeight="1" x14ac:dyDescent="0.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spans="1:26" ht="12.75" customHeight="1" x14ac:dyDescent="0.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spans="1:26" ht="12.75" customHeight="1" x14ac:dyDescent="0.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spans="1:26" ht="12.75" customHeight="1" x14ac:dyDescent="0.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spans="1:26" ht="12.75" customHeight="1" x14ac:dyDescent="0.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spans="1:26" ht="12.75" customHeight="1" x14ac:dyDescent="0.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spans="1:26" ht="12.75" customHeight="1" x14ac:dyDescent="0.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spans="1:26" ht="12.75" customHeight="1" x14ac:dyDescent="0.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spans="1:26" ht="12.75" customHeight="1" x14ac:dyDescent="0.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spans="1:26" ht="12.75" customHeight="1" x14ac:dyDescent="0.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spans="1:26" ht="12.75" customHeight="1" x14ac:dyDescent="0.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spans="1:26" ht="12.75" customHeight="1" x14ac:dyDescent="0.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spans="1:26" ht="12.75" customHeight="1" x14ac:dyDescent="0.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spans="1:26" ht="12.75" customHeight="1" x14ac:dyDescent="0.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spans="1:26" ht="12.75" customHeight="1" x14ac:dyDescent="0.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spans="1:26" ht="12.75" customHeight="1" x14ac:dyDescent="0.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spans="1:26" ht="12.75" customHeight="1" x14ac:dyDescent="0.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spans="1:26" ht="12.75" customHeight="1" x14ac:dyDescent="0.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spans="1:26" ht="12.75" customHeight="1" x14ac:dyDescent="0.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spans="1:26" ht="12.75" customHeight="1" x14ac:dyDescent="0.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spans="1:26" ht="12.75" customHeight="1" x14ac:dyDescent="0.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spans="1:26" ht="12.75" customHeight="1" x14ac:dyDescent="0.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spans="1:26" ht="12.75" customHeight="1" x14ac:dyDescent="0.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spans="1:26" ht="12.75" customHeight="1" x14ac:dyDescent="0.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spans="1:26" ht="12.75" customHeight="1" x14ac:dyDescent="0.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spans="1:26" ht="12.75" customHeight="1" x14ac:dyDescent="0.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spans="1:26" ht="12.75" customHeight="1" x14ac:dyDescent="0.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spans="1:26" ht="12.75" customHeight="1" x14ac:dyDescent="0.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spans="1:26" ht="12.75" customHeight="1" x14ac:dyDescent="0.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spans="1:26" ht="12.75" customHeight="1" x14ac:dyDescent="0.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spans="1:26" ht="12.75" customHeight="1" x14ac:dyDescent="0.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spans="1:26" ht="12.75" customHeight="1" x14ac:dyDescent="0.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spans="1:26" ht="12.75" customHeight="1" x14ac:dyDescent="0.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spans="1:26" ht="12.75" customHeight="1" x14ac:dyDescent="0.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spans="1:26" ht="12.75" customHeight="1" x14ac:dyDescent="0.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spans="1:26" ht="12.75" customHeight="1" x14ac:dyDescent="0.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spans="1:26" ht="12.75" customHeight="1" x14ac:dyDescent="0.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spans="1:26" ht="12.75" customHeight="1" x14ac:dyDescent="0.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spans="1:26" ht="12.75" customHeight="1" x14ac:dyDescent="0.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spans="1:26" ht="12.75" customHeight="1" x14ac:dyDescent="0.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spans="1:26" ht="12.75" customHeight="1" x14ac:dyDescent="0.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spans="1:26" ht="12.75" customHeight="1" x14ac:dyDescent="0.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spans="1:26" ht="12.75" customHeight="1" x14ac:dyDescent="0.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spans="1:26" ht="12.75" customHeight="1" x14ac:dyDescent="0.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spans="1:26" ht="12.75" customHeight="1" x14ac:dyDescent="0.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spans="1:26" ht="12.75" customHeight="1" x14ac:dyDescent="0.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spans="1:26" ht="12.75" customHeight="1" x14ac:dyDescent="0.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spans="1:26" ht="12.75" customHeight="1" x14ac:dyDescent="0.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spans="1:26" ht="12.75" customHeight="1" x14ac:dyDescent="0.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spans="1:26" ht="12.75" customHeight="1" x14ac:dyDescent="0.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spans="1:26" ht="12.75" customHeight="1" x14ac:dyDescent="0.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spans="1:26" ht="12.75" customHeight="1" x14ac:dyDescent="0.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spans="1:26" ht="12.75" customHeight="1" x14ac:dyDescent="0.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spans="1:26" ht="12.75" customHeight="1" x14ac:dyDescent="0.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spans="1:26" ht="12.75" customHeight="1" x14ac:dyDescent="0.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spans="1:26" ht="12.75" customHeight="1" x14ac:dyDescent="0.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spans="1:26" ht="12.75" customHeight="1" x14ac:dyDescent="0.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spans="1:26" ht="12.75" customHeight="1" x14ac:dyDescent="0.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spans="1:26" ht="12.75" customHeight="1" x14ac:dyDescent="0.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spans="1:26" ht="12.75" customHeight="1" x14ac:dyDescent="0.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spans="1:26" ht="12.75" customHeight="1" x14ac:dyDescent="0.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spans="1:26" ht="12.75" customHeight="1" x14ac:dyDescent="0.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spans="1:26" ht="12.75" customHeight="1" x14ac:dyDescent="0.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spans="1:26" ht="12.75" customHeight="1" x14ac:dyDescent="0.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spans="1:26" ht="12.75" customHeight="1" x14ac:dyDescent="0.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spans="1:26" ht="12.75" customHeight="1" x14ac:dyDescent="0.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spans="1:26" ht="12.75" customHeight="1" x14ac:dyDescent="0.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spans="1:26" ht="12.75" customHeight="1" x14ac:dyDescent="0.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spans="1:26" ht="12.75" customHeight="1" x14ac:dyDescent="0.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spans="1:26" ht="12.75" customHeight="1" x14ac:dyDescent="0.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spans="1:26" ht="12.75" customHeight="1" x14ac:dyDescent="0.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spans="1:26" ht="12.75" customHeight="1" x14ac:dyDescent="0.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spans="1:26" ht="12.75" customHeight="1" x14ac:dyDescent="0.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spans="1:26" ht="12.75" customHeight="1" x14ac:dyDescent="0.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spans="1:26" ht="12.75" customHeight="1" x14ac:dyDescent="0.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spans="1:26" ht="12.75" customHeight="1" x14ac:dyDescent="0.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spans="1:26" ht="12.75" customHeight="1" x14ac:dyDescent="0.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spans="1:26" ht="12.75" customHeight="1" x14ac:dyDescent="0.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spans="1:26" ht="12.75" customHeight="1" x14ac:dyDescent="0.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spans="1:26" ht="12.75" customHeight="1" x14ac:dyDescent="0.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spans="1:26" ht="12.75" customHeight="1" x14ac:dyDescent="0.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spans="1:26" ht="12.75" customHeight="1" x14ac:dyDescent="0.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spans="1:26" ht="12.75" customHeight="1" x14ac:dyDescent="0.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spans="1:26" ht="12.75" customHeight="1" x14ac:dyDescent="0.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spans="1:26" ht="12.75" customHeight="1" x14ac:dyDescent="0.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spans="1:26" ht="12.75" customHeight="1" x14ac:dyDescent="0.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spans="1:26" ht="12.75" customHeight="1" x14ac:dyDescent="0.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spans="1:26" ht="12.75" customHeight="1" x14ac:dyDescent="0.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spans="1:26" ht="12.75" customHeight="1" x14ac:dyDescent="0.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spans="1:26" ht="12.75" customHeight="1" x14ac:dyDescent="0.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spans="1:26" ht="12.75" customHeight="1" x14ac:dyDescent="0.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spans="1:26" ht="12.75" customHeight="1" x14ac:dyDescent="0.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spans="1:26" ht="12.75" customHeight="1" x14ac:dyDescent="0.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spans="1:26" ht="12.75" customHeight="1" x14ac:dyDescent="0.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spans="1:26" ht="12.75" customHeight="1" x14ac:dyDescent="0.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spans="1:26" ht="12.75" customHeight="1" x14ac:dyDescent="0.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spans="1:26" ht="12.75" customHeight="1" x14ac:dyDescent="0.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spans="1:26" ht="12.75" customHeight="1" x14ac:dyDescent="0.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spans="1:26" ht="12.75" customHeight="1" x14ac:dyDescent="0.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spans="1:26" ht="12.75" customHeight="1" x14ac:dyDescent="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spans="1:26" ht="12.75" customHeight="1" x14ac:dyDescent="0.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spans="1:26" ht="12.75" customHeight="1" x14ac:dyDescent="0.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spans="1:26" ht="12.75" customHeight="1" x14ac:dyDescent="0.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spans="1:26" ht="12.75" customHeight="1" x14ac:dyDescent="0.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spans="1:26" ht="12.75" customHeight="1" x14ac:dyDescent="0.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spans="1:26" ht="12.75" customHeight="1" x14ac:dyDescent="0.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spans="1:26" ht="12.75" customHeight="1" x14ac:dyDescent="0.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spans="1:26" ht="12.75" customHeight="1" x14ac:dyDescent="0.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spans="1:26" ht="12.75" customHeight="1" x14ac:dyDescent="0.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spans="1:26" ht="12.75" customHeight="1" x14ac:dyDescent="0.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spans="1:26" ht="12.75" customHeight="1" x14ac:dyDescent="0.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spans="1:26" ht="12.75" customHeight="1" x14ac:dyDescent="0.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spans="1:26" ht="12.75" customHeight="1" x14ac:dyDescent="0.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spans="1:26" ht="12.75" customHeight="1" x14ac:dyDescent="0.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spans="1:26" ht="12.75" customHeight="1" x14ac:dyDescent="0.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spans="1:26" ht="12.75" customHeight="1" x14ac:dyDescent="0.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spans="1:26" ht="12.75" customHeight="1" x14ac:dyDescent="0.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spans="1:26" ht="12.75" customHeight="1" x14ac:dyDescent="0.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spans="1:26" ht="12.75" customHeight="1" x14ac:dyDescent="0.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spans="1:26" ht="12.75" customHeight="1" x14ac:dyDescent="0.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spans="1:26" ht="12.75" customHeight="1" x14ac:dyDescent="0.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spans="1:26" ht="12.75" customHeight="1" x14ac:dyDescent="0.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spans="1:26" ht="12.75" customHeight="1" x14ac:dyDescent="0.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spans="1:26" ht="12.75" customHeight="1" x14ac:dyDescent="0.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spans="1:26" ht="12.75" customHeight="1" x14ac:dyDescent="0.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spans="1:26" ht="12.75" customHeight="1" x14ac:dyDescent="0.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spans="1:26" ht="12.75" customHeight="1" x14ac:dyDescent="0.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spans="1:26" ht="12.75" customHeight="1" x14ac:dyDescent="0.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spans="1:26" ht="12.75" customHeight="1" x14ac:dyDescent="0.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spans="1:26" ht="12.75" customHeight="1" x14ac:dyDescent="0.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spans="1:26" ht="12.75" customHeight="1" x14ac:dyDescent="0.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spans="1:26" ht="12.75" customHeight="1" x14ac:dyDescent="0.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spans="1:26" ht="12.75" customHeight="1" x14ac:dyDescent="0.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spans="1:26" ht="12.75" customHeight="1" x14ac:dyDescent="0.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spans="1:26" ht="12.75" customHeight="1" x14ac:dyDescent="0.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spans="1:26" ht="12.75" customHeight="1" x14ac:dyDescent="0.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spans="1:26" ht="12.75" customHeight="1" x14ac:dyDescent="0.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spans="1:26" ht="12.75" customHeight="1" x14ac:dyDescent="0.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spans="1:26" ht="12.75" customHeight="1" x14ac:dyDescent="0.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spans="1:26" ht="12.75" customHeight="1" x14ac:dyDescent="0.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spans="1:26" ht="12.75" customHeight="1" x14ac:dyDescent="0.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spans="1:26" ht="12.75" customHeight="1" x14ac:dyDescent="0.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spans="1:26" ht="12.75" customHeight="1" x14ac:dyDescent="0.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spans="1:26" ht="12.75" customHeight="1" x14ac:dyDescent="0.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spans="1:26" ht="12.75" customHeight="1" x14ac:dyDescent="0.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spans="1:26" ht="12.75" customHeight="1" x14ac:dyDescent="0.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spans="1:26" ht="12.75" customHeight="1" x14ac:dyDescent="0.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spans="1:26" ht="12.75" customHeight="1" x14ac:dyDescent="0.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spans="1:26" ht="12.75" customHeight="1" x14ac:dyDescent="0.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spans="1:26" ht="12.75" customHeight="1" x14ac:dyDescent="0.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spans="1:26" ht="12.75" customHeight="1" x14ac:dyDescent="0.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spans="1:26" ht="12.75" customHeight="1" x14ac:dyDescent="0.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spans="1:26" ht="12.75" customHeight="1" x14ac:dyDescent="0.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spans="1:26" ht="12.75" customHeight="1" x14ac:dyDescent="0.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spans="1:26" ht="12.75" customHeight="1" x14ac:dyDescent="0.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spans="1:26" ht="12.75" customHeight="1" x14ac:dyDescent="0.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spans="1:26" ht="12.75" customHeight="1" x14ac:dyDescent="0.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spans="1:26" ht="12.75" customHeight="1" x14ac:dyDescent="0.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spans="1:26" ht="12.75" customHeight="1" x14ac:dyDescent="0.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spans="1:26" ht="12.75" customHeight="1" x14ac:dyDescent="0.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spans="1:26" ht="12.75" customHeight="1" x14ac:dyDescent="0.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spans="1:26" ht="12.75" customHeight="1" x14ac:dyDescent="0.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spans="1:26" ht="12.75" customHeight="1" x14ac:dyDescent="0.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spans="1:26" ht="12.75" customHeight="1" x14ac:dyDescent="0.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spans="1:26" ht="12.75" customHeight="1" x14ac:dyDescent="0.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spans="1:26" ht="12.75" customHeight="1" x14ac:dyDescent="0.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spans="1:26" ht="12.75" customHeight="1" x14ac:dyDescent="0.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spans="1:26" ht="12.75" customHeight="1" x14ac:dyDescent="0.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spans="1:26" ht="12.75" customHeight="1" x14ac:dyDescent="0.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spans="1:26" ht="12.75" customHeight="1" x14ac:dyDescent="0.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spans="1:26" ht="12.75" customHeight="1" x14ac:dyDescent="0.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spans="1:26" ht="12.75" customHeight="1" x14ac:dyDescent="0.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spans="1:26" ht="12.75" customHeight="1" x14ac:dyDescent="0.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spans="1:26" ht="12.75" customHeight="1" x14ac:dyDescent="0.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spans="1:26" ht="12.75" customHeight="1" x14ac:dyDescent="0.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spans="1:26" ht="12.75" customHeight="1" x14ac:dyDescent="0.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spans="1:26" ht="12.75" customHeight="1" x14ac:dyDescent="0.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spans="1:26" ht="12.75" customHeight="1" x14ac:dyDescent="0.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spans="1:26" ht="12.75" customHeight="1" x14ac:dyDescent="0.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spans="1:26" ht="12.75" customHeight="1" x14ac:dyDescent="0.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spans="1:26" ht="12.75" customHeight="1" x14ac:dyDescent="0.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spans="1:26" ht="12.75" customHeight="1" x14ac:dyDescent="0.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spans="1:26" ht="12.75" customHeight="1" x14ac:dyDescent="0.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spans="1:26" ht="12.75" customHeight="1" x14ac:dyDescent="0.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spans="1:26" ht="12.75" customHeight="1" x14ac:dyDescent="0.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spans="1:26" ht="12.75" customHeight="1" x14ac:dyDescent="0.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spans="1:26" ht="12.75" customHeight="1" x14ac:dyDescent="0.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spans="1:26" ht="12.75" customHeight="1" x14ac:dyDescent="0.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spans="1:26" ht="12.75" customHeight="1" x14ac:dyDescent="0.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spans="1:26" ht="12.75" customHeight="1" x14ac:dyDescent="0.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spans="1:26" ht="12.75" customHeight="1" x14ac:dyDescent="0.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spans="1:26" ht="12.75" customHeight="1" x14ac:dyDescent="0.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spans="1:26" ht="12.75" customHeight="1" x14ac:dyDescent="0.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sheetData>
  <mergeCells count="9">
    <mergeCell ref="A15:D15"/>
    <mergeCell ref="A17:B17"/>
    <mergeCell ref="A5:H5"/>
    <mergeCell ref="A6:A7"/>
    <mergeCell ref="B6:B7"/>
    <mergeCell ref="C6:C7"/>
    <mergeCell ref="D6:D7"/>
    <mergeCell ref="E6:E7"/>
    <mergeCell ref="H6:H7"/>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997"/>
  <sheetViews>
    <sheetView showGridLines="0" tabSelected="1" workbookViewId="0">
      <pane ySplit="7" topLeftCell="A8" activePane="bottomLeft" state="frozen"/>
      <selection pane="bottomLeft" activeCell="J27" sqref="J27"/>
    </sheetView>
    <sheetView workbookViewId="1"/>
  </sheetViews>
  <sheetFormatPr defaultColWidth="0" defaultRowHeight="15" customHeight="1" x14ac:dyDescent="0.2"/>
  <cols>
    <col min="1" max="1" width="26.42578125" customWidth="1"/>
    <col min="2" max="2" width="61" customWidth="1"/>
    <col min="3" max="3" width="16.28515625" customWidth="1"/>
    <col min="4" max="4" width="10.42578125" customWidth="1"/>
    <col min="5" max="5" width="7.7109375" customWidth="1"/>
    <col min="6" max="6" width="6.7109375" customWidth="1"/>
    <col min="7" max="7" width="12.28515625" customWidth="1"/>
    <col min="8" max="8" width="16.42578125" customWidth="1"/>
    <col min="9" max="10" width="16.28515625" customWidth="1"/>
    <col min="11" max="11" width="7.42578125" customWidth="1"/>
    <col min="12" max="12" width="12.7109375" customWidth="1"/>
    <col min="13" max="13" width="10.42578125" customWidth="1"/>
    <col min="14" max="14" width="26.42578125" customWidth="1"/>
    <col min="15" max="15" width="7.28515625" customWidth="1"/>
    <col min="16" max="16" width="7.7109375" customWidth="1"/>
    <col min="17" max="17" width="14.28515625" customWidth="1"/>
    <col min="18" max="18" width="10" customWidth="1"/>
    <col min="19" max="33" width="10" hidden="1" customWidth="1"/>
    <col min="34" max="16384" width="12.42578125" hidden="1"/>
  </cols>
  <sheetData>
    <row r="1" spans="1:32" ht="15" customHeight="1" x14ac:dyDescent="0.2">
      <c r="A1" s="196" t="str">
        <f>'RESUMEN GENERAL'!A3</f>
        <v xml:space="preserve">Título del proyecto:   </v>
      </c>
      <c r="B1" s="158" t="str" cm="1">
        <f t="array" ref="B1:J1">'RESUMEN GENERAL'!B3:J3</f>
        <v xml:space="preserve">Funciones evolutivas del habla dirigida a bebés: Impacto en la atención, las preferencias auditivas y el desarrollo lingüístico y musical temprano </v>
      </c>
      <c r="C1" s="159">
        <v>0</v>
      </c>
      <c r="D1" s="159">
        <v>0</v>
      </c>
      <c r="E1" s="159">
        <v>0</v>
      </c>
      <c r="F1" s="159">
        <v>0</v>
      </c>
      <c r="G1" s="159">
        <v>0</v>
      </c>
      <c r="H1" s="159">
        <v>0</v>
      </c>
      <c r="I1" s="159">
        <v>0</v>
      </c>
      <c r="J1" s="159">
        <v>0</v>
      </c>
    </row>
    <row r="2" spans="1:32" ht="15" customHeight="1" x14ac:dyDescent="0.2">
      <c r="A2" s="196" t="str">
        <f>'RESUMEN GENERAL'!A4</f>
        <v xml:space="preserve">Investigador Principal: </v>
      </c>
      <c r="B2" s="158" t="str" cm="1">
        <f t="array" ref="B2:J2">'RESUMEN GENERAL'!B4:J4</f>
        <v>Juan David Leongómez Peña</v>
      </c>
      <c r="C2" s="159">
        <v>0</v>
      </c>
      <c r="D2" s="159">
        <v>0</v>
      </c>
      <c r="E2" s="159">
        <v>0</v>
      </c>
      <c r="F2" s="159">
        <v>0</v>
      </c>
      <c r="G2" s="159">
        <v>0</v>
      </c>
      <c r="H2" s="159">
        <v>0</v>
      </c>
      <c r="I2" s="159">
        <v>0</v>
      </c>
      <c r="J2" s="159">
        <v>0</v>
      </c>
    </row>
    <row r="4" spans="1:32" ht="15" customHeight="1" x14ac:dyDescent="0.2">
      <c r="A4" s="79" t="s">
        <v>51</v>
      </c>
    </row>
    <row r="5" spans="1:32" ht="15" customHeight="1" x14ac:dyDescent="0.2">
      <c r="A5" s="70" t="s">
        <v>142</v>
      </c>
    </row>
    <row r="6" spans="1:32" ht="48.75" customHeight="1" x14ac:dyDescent="0.2">
      <c r="A6" s="269" t="s">
        <v>135</v>
      </c>
      <c r="B6" s="269" t="s">
        <v>91</v>
      </c>
      <c r="C6" s="269" t="s">
        <v>100</v>
      </c>
      <c r="D6" s="269" t="s">
        <v>101</v>
      </c>
      <c r="E6" s="269" t="s">
        <v>102</v>
      </c>
      <c r="F6" s="269" t="s">
        <v>103</v>
      </c>
      <c r="G6" s="269" t="s">
        <v>104</v>
      </c>
      <c r="H6" s="287" t="s">
        <v>105</v>
      </c>
      <c r="I6" s="269" t="s">
        <v>106</v>
      </c>
      <c r="J6" s="287" t="s">
        <v>107</v>
      </c>
      <c r="K6" s="269" t="s">
        <v>108</v>
      </c>
      <c r="L6" s="287" t="s">
        <v>109</v>
      </c>
      <c r="M6" s="269" t="s">
        <v>110</v>
      </c>
      <c r="N6" s="25" t="s">
        <v>32</v>
      </c>
      <c r="O6" s="271" t="s">
        <v>111</v>
      </c>
      <c r="P6" s="281"/>
      <c r="Q6" s="300" t="s">
        <v>36</v>
      </c>
    </row>
    <row r="7" spans="1:32" ht="43.5" customHeight="1" x14ac:dyDescent="0.2">
      <c r="A7" s="270"/>
      <c r="B7" s="270"/>
      <c r="C7" s="270"/>
      <c r="D7" s="299"/>
      <c r="E7" s="270"/>
      <c r="F7" s="270"/>
      <c r="G7" s="270"/>
      <c r="H7" s="270"/>
      <c r="I7" s="270"/>
      <c r="J7" s="270"/>
      <c r="K7" s="270"/>
      <c r="L7" s="270"/>
      <c r="M7" s="270"/>
      <c r="N7" s="49" t="s">
        <v>94</v>
      </c>
      <c r="O7" s="1" t="s">
        <v>41</v>
      </c>
      <c r="P7" s="25" t="s">
        <v>40</v>
      </c>
      <c r="Q7" s="270"/>
    </row>
    <row r="8" spans="1:32" ht="25.5" x14ac:dyDescent="0.2">
      <c r="A8" s="309" t="s">
        <v>203</v>
      </c>
      <c r="B8" s="309" t="s">
        <v>204</v>
      </c>
      <c r="C8" s="309">
        <v>1</v>
      </c>
      <c r="D8" s="309">
        <v>1</v>
      </c>
      <c r="E8" s="310">
        <v>6</v>
      </c>
      <c r="F8" s="310">
        <v>5</v>
      </c>
      <c r="G8" s="311">
        <v>3000000</v>
      </c>
      <c r="H8" s="311">
        <f t="shared" ref="H8:H10" si="0">+G8*C8*D8</f>
        <v>3000000</v>
      </c>
      <c r="I8" s="311">
        <v>160000</v>
      </c>
      <c r="J8" s="311">
        <f t="shared" ref="J8:J10" si="1">+C8*D8*E8*I8</f>
        <v>960000</v>
      </c>
      <c r="K8" s="311">
        <v>300000</v>
      </c>
      <c r="L8" s="311">
        <f t="shared" ref="L8:L10" si="2">+C8*D8*F8*K8</f>
        <v>1500000</v>
      </c>
      <c r="M8" s="311">
        <f>+H8+J8+L8</f>
        <v>5460000</v>
      </c>
      <c r="N8" s="311">
        <f>M8</f>
        <v>5460000</v>
      </c>
      <c r="O8" s="21"/>
      <c r="P8" s="21"/>
      <c r="Q8" s="2">
        <f t="shared" ref="Q8:Q16" si="3">SUM(N8:P8)</f>
        <v>5460000</v>
      </c>
      <c r="R8" s="63"/>
      <c r="S8" s="63"/>
      <c r="T8" s="63"/>
      <c r="U8" s="63"/>
      <c r="V8" s="63"/>
      <c r="W8" s="63"/>
      <c r="X8" s="63"/>
      <c r="Y8" s="63"/>
      <c r="Z8" s="63"/>
      <c r="AA8" s="63"/>
      <c r="AB8" s="63"/>
      <c r="AC8" s="63"/>
      <c r="AD8" s="63"/>
      <c r="AE8" s="63"/>
      <c r="AF8" s="63"/>
    </row>
    <row r="9" spans="1:32" ht="38.25" x14ac:dyDescent="0.2">
      <c r="A9" s="309" t="s">
        <v>205</v>
      </c>
      <c r="B9" s="309" t="s">
        <v>206</v>
      </c>
      <c r="C9" s="309">
        <v>1</v>
      </c>
      <c r="D9" s="309">
        <v>1</v>
      </c>
      <c r="E9" s="310">
        <v>6</v>
      </c>
      <c r="F9" s="310">
        <v>5</v>
      </c>
      <c r="G9" s="311">
        <v>6000000</v>
      </c>
      <c r="H9" s="311">
        <f t="shared" si="0"/>
        <v>6000000</v>
      </c>
      <c r="I9" s="311">
        <v>220000</v>
      </c>
      <c r="J9" s="311">
        <f t="shared" si="1"/>
        <v>1320000</v>
      </c>
      <c r="K9" s="311">
        <v>450000</v>
      </c>
      <c r="L9" s="311">
        <f t="shared" si="2"/>
        <v>2250000</v>
      </c>
      <c r="M9" s="311">
        <f t="shared" ref="M9:M10" si="4">G9+K9</f>
        <v>6450000</v>
      </c>
      <c r="N9" s="311">
        <f t="shared" ref="N9:N10" si="5">M9</f>
        <v>6450000</v>
      </c>
      <c r="O9" s="21"/>
      <c r="P9" s="21"/>
      <c r="Q9" s="2">
        <f t="shared" si="3"/>
        <v>6450000</v>
      </c>
      <c r="R9" s="63"/>
      <c r="S9" s="63"/>
      <c r="T9" s="63"/>
      <c r="U9" s="63"/>
      <c r="V9" s="63"/>
      <c r="W9" s="63"/>
      <c r="X9" s="63"/>
      <c r="Y9" s="63"/>
      <c r="Z9" s="63"/>
      <c r="AA9" s="63"/>
      <c r="AB9" s="63"/>
      <c r="AC9" s="63"/>
      <c r="AD9" s="63"/>
      <c r="AE9" s="63"/>
      <c r="AF9" s="63"/>
    </row>
    <row r="10" spans="1:32" ht="38.25" x14ac:dyDescent="0.2">
      <c r="A10" s="309" t="s">
        <v>207</v>
      </c>
      <c r="B10" s="309" t="s">
        <v>208</v>
      </c>
      <c r="C10" s="309">
        <v>1</v>
      </c>
      <c r="D10" s="309">
        <v>1</v>
      </c>
      <c r="E10" s="310">
        <v>3</v>
      </c>
      <c r="F10" s="310">
        <v>2</v>
      </c>
      <c r="G10" s="311">
        <v>600000</v>
      </c>
      <c r="H10" s="311">
        <f t="shared" si="0"/>
        <v>600000</v>
      </c>
      <c r="I10" s="311">
        <v>80000</v>
      </c>
      <c r="J10" s="311">
        <f t="shared" si="1"/>
        <v>240000</v>
      </c>
      <c r="K10" s="311">
        <v>150000</v>
      </c>
      <c r="L10" s="311">
        <f t="shared" si="2"/>
        <v>300000</v>
      </c>
      <c r="M10" s="311">
        <f t="shared" si="4"/>
        <v>750000</v>
      </c>
      <c r="N10" s="311">
        <f t="shared" si="5"/>
        <v>750000</v>
      </c>
      <c r="O10" s="21"/>
      <c r="P10" s="21"/>
      <c r="Q10" s="2">
        <f t="shared" si="3"/>
        <v>750000</v>
      </c>
      <c r="R10" s="63"/>
      <c r="S10" s="63"/>
      <c r="T10" s="63"/>
      <c r="U10" s="63"/>
      <c r="V10" s="63"/>
      <c r="W10" s="63"/>
      <c r="X10" s="63"/>
      <c r="Y10" s="63"/>
      <c r="Z10" s="63"/>
      <c r="AA10" s="63"/>
      <c r="AB10" s="63"/>
      <c r="AC10" s="63"/>
      <c r="AD10" s="63"/>
      <c r="AE10" s="63"/>
      <c r="AF10" s="63"/>
    </row>
    <row r="11" spans="1:32" ht="12.75" customHeight="1" x14ac:dyDescent="0.2">
      <c r="A11" s="27"/>
      <c r="B11" s="28"/>
      <c r="C11" s="28"/>
      <c r="D11" s="28"/>
      <c r="E11" s="29"/>
      <c r="F11" s="29"/>
      <c r="G11" s="21"/>
      <c r="H11" s="21">
        <f t="shared" ref="H8:H16" si="6">+G11*C11*D11</f>
        <v>0</v>
      </c>
      <c r="I11" s="21"/>
      <c r="J11" s="21">
        <f t="shared" ref="J8:J16" si="7">+C11*D11*E11*I11</f>
        <v>0</v>
      </c>
      <c r="K11" s="21"/>
      <c r="L11" s="21">
        <f t="shared" ref="L8:L16" si="8">+C11*D11*F11*K11</f>
        <v>0</v>
      </c>
      <c r="M11" s="21">
        <f t="shared" ref="M9:M16" si="9">G11+K11</f>
        <v>0</v>
      </c>
      <c r="N11" s="21"/>
      <c r="O11" s="21"/>
      <c r="P11" s="21"/>
      <c r="Q11" s="2">
        <f t="shared" si="3"/>
        <v>0</v>
      </c>
      <c r="R11" s="63"/>
      <c r="S11" s="63"/>
      <c r="T11" s="63"/>
      <c r="U11" s="63"/>
      <c r="V11" s="63"/>
      <c r="W11" s="63"/>
      <c r="X11" s="63"/>
      <c r="Y11" s="63"/>
      <c r="Z11" s="63"/>
      <c r="AA11" s="63"/>
      <c r="AB11" s="63"/>
      <c r="AC11" s="63"/>
      <c r="AD11" s="63"/>
      <c r="AE11" s="63"/>
      <c r="AF11" s="63"/>
    </row>
    <row r="12" spans="1:32" ht="12.75" customHeight="1" x14ac:dyDescent="0.2">
      <c r="A12" s="28"/>
      <c r="B12" s="28"/>
      <c r="C12" s="28"/>
      <c r="D12" s="28"/>
      <c r="E12" s="29"/>
      <c r="F12" s="29"/>
      <c r="G12" s="21"/>
      <c r="H12" s="21">
        <f t="shared" si="6"/>
        <v>0</v>
      </c>
      <c r="I12" s="21"/>
      <c r="J12" s="21">
        <f t="shared" si="7"/>
        <v>0</v>
      </c>
      <c r="K12" s="21"/>
      <c r="L12" s="21">
        <f t="shared" si="8"/>
        <v>0</v>
      </c>
      <c r="M12" s="21">
        <f t="shared" si="9"/>
        <v>0</v>
      </c>
      <c r="N12" s="21"/>
      <c r="O12" s="21"/>
      <c r="P12" s="21"/>
      <c r="Q12" s="2">
        <f t="shared" si="3"/>
        <v>0</v>
      </c>
      <c r="R12" s="63"/>
      <c r="S12" s="63"/>
      <c r="T12" s="63"/>
      <c r="U12" s="63"/>
      <c r="V12" s="63"/>
      <c r="W12" s="63"/>
      <c r="X12" s="63"/>
      <c r="Y12" s="63"/>
      <c r="Z12" s="63"/>
      <c r="AA12" s="63"/>
      <c r="AB12" s="63"/>
      <c r="AC12" s="63"/>
      <c r="AD12" s="63"/>
      <c r="AE12" s="63"/>
      <c r="AF12" s="63"/>
    </row>
    <row r="13" spans="1:32" ht="12.75" customHeight="1" x14ac:dyDescent="0.2">
      <c r="A13" s="28"/>
      <c r="B13" s="28"/>
      <c r="C13" s="28"/>
      <c r="D13" s="28"/>
      <c r="E13" s="29"/>
      <c r="F13" s="29"/>
      <c r="G13" s="21"/>
      <c r="H13" s="21">
        <f t="shared" si="6"/>
        <v>0</v>
      </c>
      <c r="I13" s="21"/>
      <c r="J13" s="21">
        <f t="shared" si="7"/>
        <v>0</v>
      </c>
      <c r="K13" s="21"/>
      <c r="L13" s="21">
        <f t="shared" si="8"/>
        <v>0</v>
      </c>
      <c r="M13" s="21">
        <f t="shared" si="9"/>
        <v>0</v>
      </c>
      <c r="N13" s="21"/>
      <c r="O13" s="21"/>
      <c r="P13" s="21"/>
      <c r="Q13" s="2">
        <f t="shared" si="3"/>
        <v>0</v>
      </c>
      <c r="R13" s="63"/>
      <c r="S13" s="63"/>
      <c r="T13" s="63"/>
      <c r="U13" s="63"/>
      <c r="V13" s="63"/>
      <c r="W13" s="63"/>
      <c r="X13" s="63"/>
      <c r="Y13" s="63"/>
      <c r="Z13" s="63"/>
      <c r="AA13" s="63"/>
      <c r="AB13" s="63"/>
      <c r="AC13" s="63"/>
      <c r="AD13" s="63"/>
      <c r="AE13" s="63"/>
      <c r="AF13" s="63"/>
    </row>
    <row r="14" spans="1:32" ht="12.75" customHeight="1" x14ac:dyDescent="0.2">
      <c r="A14" s="28"/>
      <c r="B14" s="28"/>
      <c r="C14" s="28"/>
      <c r="D14" s="28"/>
      <c r="E14" s="29"/>
      <c r="F14" s="29"/>
      <c r="G14" s="21"/>
      <c r="H14" s="21">
        <f t="shared" si="6"/>
        <v>0</v>
      </c>
      <c r="I14" s="21"/>
      <c r="J14" s="21">
        <f t="shared" si="7"/>
        <v>0</v>
      </c>
      <c r="K14" s="21"/>
      <c r="L14" s="21">
        <f t="shared" si="8"/>
        <v>0</v>
      </c>
      <c r="M14" s="21">
        <f t="shared" si="9"/>
        <v>0</v>
      </c>
      <c r="N14" s="21"/>
      <c r="O14" s="21"/>
      <c r="P14" s="21"/>
      <c r="Q14" s="2">
        <f t="shared" si="3"/>
        <v>0</v>
      </c>
      <c r="R14" s="63"/>
      <c r="S14" s="63"/>
      <c r="T14" s="63"/>
      <c r="U14" s="63"/>
      <c r="V14" s="63"/>
      <c r="W14" s="63"/>
      <c r="X14" s="63"/>
      <c r="Y14" s="63"/>
      <c r="Z14" s="63"/>
      <c r="AA14" s="63"/>
      <c r="AB14" s="63"/>
      <c r="AC14" s="63"/>
      <c r="AD14" s="63"/>
      <c r="AE14" s="63"/>
      <c r="AF14" s="63"/>
    </row>
    <row r="15" spans="1:32" ht="12.75" customHeight="1" x14ac:dyDescent="0.2">
      <c r="A15" s="28"/>
      <c r="B15" s="28"/>
      <c r="C15" s="28"/>
      <c r="D15" s="28"/>
      <c r="E15" s="29"/>
      <c r="F15" s="29"/>
      <c r="G15" s="21"/>
      <c r="H15" s="21">
        <f t="shared" si="6"/>
        <v>0</v>
      </c>
      <c r="I15" s="21"/>
      <c r="J15" s="21">
        <f t="shared" si="7"/>
        <v>0</v>
      </c>
      <c r="K15" s="21"/>
      <c r="L15" s="21">
        <f t="shared" si="8"/>
        <v>0</v>
      </c>
      <c r="M15" s="21">
        <f t="shared" si="9"/>
        <v>0</v>
      </c>
      <c r="N15" s="21"/>
      <c r="O15" s="21"/>
      <c r="P15" s="21"/>
      <c r="Q15" s="2">
        <f t="shared" si="3"/>
        <v>0</v>
      </c>
      <c r="R15" s="63"/>
      <c r="S15" s="63"/>
      <c r="T15" s="63"/>
      <c r="U15" s="63"/>
      <c r="V15" s="63"/>
      <c r="W15" s="63"/>
      <c r="X15" s="63"/>
      <c r="Y15" s="63"/>
      <c r="Z15" s="63"/>
      <c r="AA15" s="63"/>
      <c r="AB15" s="63"/>
      <c r="AC15" s="63"/>
      <c r="AD15" s="63"/>
      <c r="AE15" s="63"/>
      <c r="AF15" s="63"/>
    </row>
    <row r="16" spans="1:32" ht="12.75" customHeight="1" x14ac:dyDescent="0.2">
      <c r="A16" s="28"/>
      <c r="B16" s="28"/>
      <c r="C16" s="28"/>
      <c r="D16" s="28"/>
      <c r="E16" s="29"/>
      <c r="F16" s="29"/>
      <c r="G16" s="21"/>
      <c r="H16" s="21">
        <f t="shared" si="6"/>
        <v>0</v>
      </c>
      <c r="I16" s="21"/>
      <c r="J16" s="21">
        <f t="shared" si="7"/>
        <v>0</v>
      </c>
      <c r="K16" s="21"/>
      <c r="L16" s="21">
        <f t="shared" si="8"/>
        <v>0</v>
      </c>
      <c r="M16" s="21">
        <f t="shared" si="9"/>
        <v>0</v>
      </c>
      <c r="N16" s="21"/>
      <c r="O16" s="21"/>
      <c r="P16" s="21"/>
      <c r="Q16" s="160">
        <f t="shared" si="3"/>
        <v>0</v>
      </c>
      <c r="R16" s="63"/>
      <c r="S16" s="63"/>
      <c r="T16" s="63"/>
      <c r="U16" s="63"/>
      <c r="V16" s="63"/>
      <c r="W16" s="63"/>
      <c r="X16" s="63"/>
      <c r="Y16" s="63"/>
      <c r="Z16" s="63"/>
      <c r="AA16" s="63"/>
      <c r="AB16" s="63"/>
      <c r="AC16" s="63"/>
      <c r="AD16" s="63"/>
      <c r="AE16" s="63"/>
      <c r="AF16" s="63"/>
    </row>
    <row r="17" spans="1:32" ht="12.75" customHeight="1" x14ac:dyDescent="0.2">
      <c r="A17" s="298" t="s">
        <v>112</v>
      </c>
      <c r="B17" s="289"/>
      <c r="C17" s="289"/>
      <c r="D17" s="289"/>
      <c r="E17" s="289"/>
      <c r="F17" s="289"/>
      <c r="G17" s="290"/>
      <c r="H17" s="203">
        <f>SUM(H8:H16)</f>
        <v>9600000</v>
      </c>
      <c r="I17" s="203"/>
      <c r="J17" s="203">
        <f>SUM(J8:J16)</f>
        <v>2520000</v>
      </c>
      <c r="K17" s="203"/>
      <c r="L17" s="203">
        <f t="shared" ref="L17:Q17" si="10">SUM(L8:L16)</f>
        <v>4050000</v>
      </c>
      <c r="M17" s="203">
        <f t="shared" si="10"/>
        <v>12660000</v>
      </c>
      <c r="N17" s="203">
        <f t="shared" si="10"/>
        <v>12660000</v>
      </c>
      <c r="O17" s="203">
        <f t="shared" si="10"/>
        <v>0</v>
      </c>
      <c r="P17" s="203">
        <f t="shared" si="10"/>
        <v>0</v>
      </c>
      <c r="Q17" s="204">
        <f t="shared" si="10"/>
        <v>12660000</v>
      </c>
      <c r="R17" s="63"/>
      <c r="S17" s="63"/>
      <c r="T17" s="63"/>
      <c r="U17" s="63"/>
      <c r="V17" s="63"/>
      <c r="W17" s="63"/>
      <c r="X17" s="63"/>
      <c r="Y17" s="63"/>
      <c r="Z17" s="63"/>
      <c r="AA17" s="63"/>
      <c r="AB17" s="63"/>
      <c r="AC17" s="63"/>
      <c r="AD17" s="63"/>
      <c r="AE17" s="63"/>
      <c r="AF17" s="63"/>
    </row>
    <row r="18" spans="1:32" ht="12.75" customHeight="1" x14ac:dyDescent="0.2">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row>
    <row r="19" spans="1:32" ht="12.75" customHeight="1" x14ac:dyDescent="0.2">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row>
    <row r="20" spans="1:32" ht="12.75" customHeight="1" x14ac:dyDescent="0.2">
      <c r="A20" s="282" t="s">
        <v>113</v>
      </c>
      <c r="B20" s="281"/>
      <c r="C20" s="281"/>
      <c r="D20" s="272"/>
      <c r="E20" s="63"/>
      <c r="F20" s="63"/>
      <c r="G20" s="63"/>
      <c r="H20" s="63"/>
      <c r="I20" s="63"/>
      <c r="J20" s="63"/>
      <c r="K20" s="63"/>
      <c r="L20" s="63"/>
      <c r="M20" s="63"/>
      <c r="N20" s="71"/>
      <c r="O20" s="63"/>
      <c r="P20" s="63"/>
      <c r="Q20" s="63"/>
      <c r="R20" s="63"/>
      <c r="S20" s="63"/>
      <c r="T20" s="63"/>
      <c r="U20" s="63"/>
      <c r="V20" s="63"/>
      <c r="W20" s="63"/>
      <c r="X20" s="63"/>
      <c r="Y20" s="63"/>
      <c r="Z20" s="63"/>
      <c r="AA20" s="63"/>
      <c r="AB20" s="63"/>
      <c r="AC20" s="63"/>
      <c r="AD20" s="63"/>
      <c r="AE20" s="63"/>
      <c r="AF20" s="63"/>
    </row>
    <row r="21" spans="1:32" ht="12.75" customHeight="1" x14ac:dyDescent="0.2">
      <c r="A21" s="30" t="s">
        <v>114</v>
      </c>
      <c r="B21" s="30" t="s">
        <v>115</v>
      </c>
      <c r="C21" s="30" t="s">
        <v>116</v>
      </c>
      <c r="D21" s="30" t="s">
        <v>117</v>
      </c>
      <c r="E21" s="63"/>
      <c r="F21" s="63"/>
      <c r="G21" s="63"/>
      <c r="H21" s="63"/>
      <c r="I21" s="63"/>
      <c r="J21" s="63"/>
      <c r="K21" s="63"/>
      <c r="L21" s="63"/>
      <c r="M21" s="63"/>
      <c r="N21" s="71"/>
      <c r="O21" s="63"/>
      <c r="P21" s="63"/>
      <c r="Q21" s="63"/>
      <c r="R21" s="63"/>
      <c r="S21" s="63"/>
      <c r="T21" s="63"/>
      <c r="U21" s="63"/>
      <c r="V21" s="63"/>
      <c r="W21" s="63"/>
      <c r="X21" s="63"/>
      <c r="Y21" s="63"/>
      <c r="Z21" s="63"/>
      <c r="AA21" s="63"/>
      <c r="AB21" s="63"/>
      <c r="AC21" s="63"/>
      <c r="AD21" s="63"/>
      <c r="AE21" s="63"/>
      <c r="AF21" s="63"/>
    </row>
    <row r="22" spans="1:32" ht="12.75" customHeight="1" x14ac:dyDescent="0.2">
      <c r="A22" s="28" t="s">
        <v>118</v>
      </c>
      <c r="B22" s="31">
        <v>600000</v>
      </c>
      <c r="C22" s="31">
        <v>80000</v>
      </c>
      <c r="D22" s="31">
        <v>150000</v>
      </c>
      <c r="E22" s="71"/>
      <c r="F22" s="71"/>
      <c r="G22" s="71"/>
      <c r="H22" s="71"/>
      <c r="I22" s="71"/>
      <c r="J22" s="71"/>
      <c r="K22" s="71"/>
      <c r="L22" s="71"/>
      <c r="M22" s="71"/>
      <c r="N22" s="71"/>
      <c r="O22" s="63"/>
      <c r="P22" s="63"/>
      <c r="Q22" s="63"/>
      <c r="R22" s="63"/>
      <c r="S22" s="63"/>
      <c r="T22" s="63"/>
      <c r="U22" s="63"/>
      <c r="V22" s="63"/>
      <c r="W22" s="63"/>
      <c r="X22" s="63"/>
      <c r="Y22" s="63"/>
      <c r="Z22" s="63"/>
      <c r="AA22" s="63"/>
      <c r="AB22" s="63"/>
      <c r="AC22" s="63"/>
      <c r="AD22" s="63"/>
      <c r="AE22" s="63"/>
      <c r="AF22" s="63"/>
    </row>
    <row r="23" spans="1:32" ht="12.75" customHeight="1" x14ac:dyDescent="0.2">
      <c r="A23" s="28" t="s">
        <v>119</v>
      </c>
      <c r="B23" s="31">
        <v>800000</v>
      </c>
      <c r="C23" s="31">
        <v>90000</v>
      </c>
      <c r="D23" s="31">
        <v>180000</v>
      </c>
      <c r="E23" s="71"/>
      <c r="F23" s="71"/>
      <c r="G23" s="71"/>
      <c r="H23" s="71"/>
      <c r="I23" s="71"/>
      <c r="J23" s="71"/>
      <c r="K23" s="71"/>
      <c r="L23" s="71"/>
      <c r="M23" s="71"/>
      <c r="N23" s="71"/>
      <c r="O23" s="63"/>
      <c r="P23" s="63"/>
      <c r="Q23" s="63"/>
      <c r="R23" s="63"/>
      <c r="S23" s="63"/>
      <c r="T23" s="63"/>
      <c r="U23" s="63"/>
      <c r="V23" s="63"/>
      <c r="W23" s="63"/>
      <c r="X23" s="63"/>
      <c r="Y23" s="63"/>
      <c r="Z23" s="63"/>
      <c r="AA23" s="63"/>
      <c r="AB23" s="63"/>
      <c r="AC23" s="63"/>
      <c r="AD23" s="63"/>
      <c r="AE23" s="63"/>
      <c r="AF23" s="63"/>
    </row>
    <row r="24" spans="1:32" ht="12.75" customHeight="1" x14ac:dyDescent="0.2">
      <c r="A24" s="28" t="s">
        <v>120</v>
      </c>
      <c r="B24" s="31">
        <v>4000000</v>
      </c>
      <c r="C24" s="31">
        <v>180000</v>
      </c>
      <c r="D24" s="31">
        <v>400000</v>
      </c>
      <c r="E24" s="71"/>
      <c r="F24" s="71"/>
      <c r="G24" s="71"/>
      <c r="H24" s="71"/>
      <c r="I24" s="71"/>
      <c r="J24" s="71"/>
      <c r="K24" s="71"/>
      <c r="L24" s="71"/>
      <c r="M24" s="71"/>
      <c r="N24" s="71"/>
      <c r="O24" s="63"/>
      <c r="P24" s="63"/>
      <c r="Q24" s="63"/>
      <c r="R24" s="63"/>
      <c r="S24" s="63"/>
      <c r="T24" s="63"/>
      <c r="U24" s="63"/>
      <c r="V24" s="63"/>
      <c r="W24" s="63"/>
      <c r="X24" s="63"/>
      <c r="Y24" s="63"/>
      <c r="Z24" s="63"/>
      <c r="AA24" s="63"/>
      <c r="AB24" s="63"/>
      <c r="AC24" s="63"/>
      <c r="AD24" s="63"/>
      <c r="AE24" s="63"/>
      <c r="AF24" s="63"/>
    </row>
    <row r="25" spans="1:32" ht="12.75" customHeight="1" x14ac:dyDescent="0.2">
      <c r="A25" s="32" t="s">
        <v>121</v>
      </c>
      <c r="B25" s="31">
        <v>6000000</v>
      </c>
      <c r="C25" s="31">
        <v>220000</v>
      </c>
      <c r="D25" s="31">
        <v>450000</v>
      </c>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row>
    <row r="26" spans="1:32" ht="12.75" customHeight="1" x14ac:dyDescent="0.2">
      <c r="A26" s="32" t="s">
        <v>122</v>
      </c>
      <c r="B26" s="31">
        <v>3000000</v>
      </c>
      <c r="C26" s="31">
        <v>160000</v>
      </c>
      <c r="D26" s="31">
        <v>300000</v>
      </c>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row>
    <row r="27" spans="1:32" ht="12.75" customHeight="1" x14ac:dyDescent="0.2">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row>
    <row r="28" spans="1:32" ht="12.75" customHeight="1" x14ac:dyDescent="0.2">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row>
    <row r="29" spans="1:32" ht="12.75" customHeight="1" x14ac:dyDescent="0.2">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row>
    <row r="30" spans="1:32" ht="12.75" customHeight="1" x14ac:dyDescent="0.2">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row>
    <row r="31" spans="1:32" ht="12.75" customHeight="1" x14ac:dyDescent="0.2">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row>
    <row r="32" spans="1:32" ht="12.75" customHeight="1" x14ac:dyDescent="0.2">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row>
    <row r="33" spans="1:32" ht="12.75" customHeight="1" x14ac:dyDescent="0.2">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row>
    <row r="34" spans="1:32" ht="12.75" customHeight="1" x14ac:dyDescent="0.2">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row>
    <row r="35" spans="1:32" ht="12.75" customHeight="1" x14ac:dyDescent="0.2">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row>
    <row r="36" spans="1:32" ht="12.75" customHeight="1" x14ac:dyDescent="0.2">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row>
    <row r="37" spans="1:32" ht="12.75" customHeight="1" x14ac:dyDescent="0.2">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row>
    <row r="38" spans="1:32" ht="12.75" customHeight="1" x14ac:dyDescent="0.2">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row>
    <row r="39" spans="1:32" ht="12.75" customHeight="1" x14ac:dyDescent="0.2">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row>
    <row r="40" spans="1:32" ht="12.75" customHeight="1" x14ac:dyDescent="0.2">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row>
    <row r="41" spans="1:32" ht="12.75" customHeight="1" x14ac:dyDescent="0.2">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row>
    <row r="42" spans="1:32" ht="12.75" customHeight="1" x14ac:dyDescent="0.2">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row>
    <row r="43" spans="1:32" ht="12.75" customHeight="1" x14ac:dyDescent="0.2">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row>
    <row r="44" spans="1:32" ht="12.75" customHeight="1" x14ac:dyDescent="0.2">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row>
    <row r="45" spans="1:32" ht="12.75" customHeight="1" x14ac:dyDescent="0.2">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row>
    <row r="46" spans="1:32" ht="12.75" customHeight="1" x14ac:dyDescent="0.2">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row>
    <row r="47" spans="1:32" ht="12.75" customHeight="1" x14ac:dyDescent="0.2">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row>
    <row r="48" spans="1:32" ht="12.75" customHeight="1" x14ac:dyDescent="0.2">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row>
    <row r="49" spans="1:32" ht="12.75" customHeight="1" x14ac:dyDescent="0.2">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row>
    <row r="50" spans="1:32" ht="12.75" customHeight="1" x14ac:dyDescent="0.2">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row>
    <row r="51" spans="1:32" ht="12.75" customHeight="1" x14ac:dyDescent="0.2">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row>
    <row r="52" spans="1:32" ht="12.75" customHeight="1" x14ac:dyDescent="0.2">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row>
    <row r="53" spans="1:32" ht="12.75" customHeight="1" x14ac:dyDescent="0.2">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row>
    <row r="54" spans="1:32" ht="12.75" customHeight="1" x14ac:dyDescent="0.2">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row>
    <row r="55" spans="1:32" ht="12.75" customHeight="1" x14ac:dyDescent="0.2">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row>
    <row r="56" spans="1:32" ht="12.75" customHeight="1" x14ac:dyDescent="0.2">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row>
    <row r="57" spans="1:32" ht="12.75" customHeight="1" x14ac:dyDescent="0.2">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row>
    <row r="58" spans="1:32" ht="12.75" customHeight="1" x14ac:dyDescent="0.2">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row>
    <row r="59" spans="1:32" ht="12.75" customHeight="1" x14ac:dyDescent="0.2">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row>
    <row r="60" spans="1:32" ht="12.75" customHeight="1" x14ac:dyDescent="0.2">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row>
    <row r="61" spans="1:32" ht="12.75" customHeight="1" x14ac:dyDescent="0.2">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row>
    <row r="62" spans="1:32" ht="12.75" customHeight="1" x14ac:dyDescent="0.2">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row>
    <row r="63" spans="1:32" ht="12.75" customHeight="1" x14ac:dyDescent="0.2">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row>
    <row r="64" spans="1:32" ht="12.75" customHeight="1" x14ac:dyDescent="0.2">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row>
    <row r="65" spans="1:32" ht="12.75" customHeight="1" x14ac:dyDescent="0.2">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row>
    <row r="66" spans="1:32" ht="12.75" customHeight="1" x14ac:dyDescent="0.2">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row>
    <row r="67" spans="1:32" ht="12.75" customHeight="1" x14ac:dyDescent="0.2">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row>
    <row r="68" spans="1:32" ht="12.75" customHeight="1" x14ac:dyDescent="0.2">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row>
    <row r="69" spans="1:32" ht="12.75" customHeight="1" x14ac:dyDescent="0.2">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row>
    <row r="70" spans="1:32" ht="12.75" customHeight="1" x14ac:dyDescent="0.2">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row>
    <row r="71" spans="1:32" ht="12.75" customHeight="1" x14ac:dyDescent="0.2">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row>
    <row r="72" spans="1:32" ht="12.75" customHeight="1" x14ac:dyDescent="0.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row>
    <row r="73" spans="1:32" ht="12.75" customHeight="1" x14ac:dyDescent="0.2">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row>
    <row r="74" spans="1:32" ht="12.75" customHeight="1" x14ac:dyDescent="0.2">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row>
    <row r="75" spans="1:32" ht="12.75" customHeight="1" x14ac:dyDescent="0.2">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row>
    <row r="76" spans="1:32" ht="12.75" customHeight="1" x14ac:dyDescent="0.2">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row>
    <row r="77" spans="1:32" ht="12.75" customHeight="1" x14ac:dyDescent="0.2">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row>
    <row r="78" spans="1:32" ht="12.75" customHeight="1" x14ac:dyDescent="0.2">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row>
    <row r="79" spans="1:32" ht="12.75" customHeight="1" x14ac:dyDescent="0.2">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row>
    <row r="80" spans="1:32" ht="12.75" customHeight="1" x14ac:dyDescent="0.2">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row>
    <row r="81" spans="1:32" ht="12.75" customHeight="1" x14ac:dyDescent="0.2">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row>
    <row r="82" spans="1:32" ht="12.75" customHeight="1" x14ac:dyDescent="0.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row>
    <row r="83" spans="1:32" ht="12.75" customHeight="1" x14ac:dyDescent="0.2">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row>
    <row r="84" spans="1:32" ht="12.75" customHeight="1" x14ac:dyDescent="0.2">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row>
    <row r="85" spans="1:32" ht="12.75" customHeight="1" x14ac:dyDescent="0.2">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row>
    <row r="86" spans="1:32" ht="12.75" customHeight="1" x14ac:dyDescent="0.2">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row>
    <row r="87" spans="1:32" ht="12.75" customHeight="1" x14ac:dyDescent="0.2">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row>
    <row r="88" spans="1:32" ht="12.75" customHeight="1" x14ac:dyDescent="0.2">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row>
    <row r="89" spans="1:32" ht="12.75" customHeight="1" x14ac:dyDescent="0.2">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row>
    <row r="90" spans="1:32" ht="12.75" customHeight="1" x14ac:dyDescent="0.2">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row>
    <row r="91" spans="1:32" ht="12.75" customHeight="1" x14ac:dyDescent="0.2">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row>
    <row r="92" spans="1:32" ht="12.75" customHeight="1" x14ac:dyDescent="0.2">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row>
    <row r="93" spans="1:32" ht="12.75" customHeight="1" x14ac:dyDescent="0.2">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row>
    <row r="94" spans="1:32" ht="12.75" customHeight="1" x14ac:dyDescent="0.2">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row>
    <row r="95" spans="1:32" ht="12.75" customHeight="1" x14ac:dyDescent="0.2">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row>
    <row r="96" spans="1:32" ht="12.75" customHeight="1" x14ac:dyDescent="0.2">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row>
    <row r="97" spans="1:32" ht="12.75" customHeight="1" x14ac:dyDescent="0.2">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row>
    <row r="98" spans="1:32" ht="12.75" customHeight="1" x14ac:dyDescent="0.2">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row>
    <row r="99" spans="1:32" ht="12.75" customHeight="1" x14ac:dyDescent="0.2">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row>
    <row r="100" spans="1:32" ht="12.75" customHeight="1" x14ac:dyDescent="0.2">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row>
    <row r="101" spans="1:32" ht="12.75" customHeight="1" x14ac:dyDescent="0.2">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row>
    <row r="102" spans="1:32" ht="12.75" customHeight="1" x14ac:dyDescent="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row>
    <row r="103" spans="1:32" ht="12.75" customHeight="1" x14ac:dyDescent="0.2">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row>
    <row r="104" spans="1:32" ht="12.75" customHeight="1" x14ac:dyDescent="0.2">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row>
    <row r="105" spans="1:32" ht="12.75" customHeight="1" x14ac:dyDescent="0.2">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row>
    <row r="106" spans="1:32" ht="12.75" customHeight="1" x14ac:dyDescent="0.2">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row>
    <row r="107" spans="1:32" ht="12.75" customHeight="1" x14ac:dyDescent="0.2">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row>
    <row r="108" spans="1:32" ht="12.75" customHeight="1" x14ac:dyDescent="0.2">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row>
    <row r="109" spans="1:32" ht="12.75" customHeight="1" x14ac:dyDescent="0.2">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row>
    <row r="110" spans="1:32" ht="12.75" customHeight="1" x14ac:dyDescent="0.2">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row>
    <row r="111" spans="1:32" ht="12.75" customHeight="1" x14ac:dyDescent="0.2">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row>
    <row r="112" spans="1:32" ht="12.75" customHeight="1" x14ac:dyDescent="0.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row>
    <row r="113" spans="1:32" ht="12.75" customHeight="1" x14ac:dyDescent="0.2">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row>
    <row r="114" spans="1:32" ht="12.75" customHeight="1" x14ac:dyDescent="0.2">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row>
    <row r="115" spans="1:32" ht="12.75" customHeight="1" x14ac:dyDescent="0.2">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row>
    <row r="116" spans="1:32" ht="12.75" customHeight="1" x14ac:dyDescent="0.2">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row>
    <row r="117" spans="1:32" ht="12.75" customHeight="1" x14ac:dyDescent="0.2">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row>
    <row r="118" spans="1:32" ht="12.75" customHeight="1" x14ac:dyDescent="0.2">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row>
    <row r="119" spans="1:32" ht="12.75" customHeight="1" x14ac:dyDescent="0.2">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row>
    <row r="120" spans="1:32" ht="12.75" customHeight="1" x14ac:dyDescent="0.2">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row>
    <row r="121" spans="1:32" ht="12.75" customHeight="1" x14ac:dyDescent="0.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spans="1:32" ht="12.75" customHeight="1" x14ac:dyDescent="0.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spans="1:32" ht="12.75" customHeight="1" x14ac:dyDescent="0.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spans="1:32" ht="12.75" customHeight="1" x14ac:dyDescent="0.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spans="1:32" ht="12.75" customHeight="1" x14ac:dyDescent="0.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spans="1:32" ht="12.75" customHeight="1" x14ac:dyDescent="0.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spans="1:32" ht="12.75" customHeight="1" x14ac:dyDescent="0.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spans="1:32" ht="12.75" customHeight="1" x14ac:dyDescent="0.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spans="1:32" ht="12.75" customHeight="1" x14ac:dyDescent="0.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spans="1:32" ht="12.75" customHeight="1" x14ac:dyDescent="0.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spans="1:32" ht="12.75" customHeight="1" x14ac:dyDescent="0.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spans="1:32" ht="12.75" customHeight="1" x14ac:dyDescent="0.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spans="1:32" ht="12.75" customHeight="1" x14ac:dyDescent="0.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spans="1:32" ht="12.75" customHeight="1" x14ac:dyDescent="0.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spans="1:32" ht="12.75" customHeight="1" x14ac:dyDescent="0.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spans="1:32" ht="12.75" customHeight="1" x14ac:dyDescent="0.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spans="1:32" ht="12.75" customHeight="1" x14ac:dyDescent="0.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spans="1:32" ht="12.75" customHeight="1" x14ac:dyDescent="0.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spans="1:32" ht="12.75" customHeight="1" x14ac:dyDescent="0.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spans="1:32" ht="12.75" customHeight="1" x14ac:dyDescent="0.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spans="1:32" ht="12.75" customHeight="1" x14ac:dyDescent="0.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spans="1:32" ht="12.75" customHeight="1" x14ac:dyDescent="0.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spans="1:32" ht="12.75" customHeight="1" x14ac:dyDescent="0.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spans="1:32" ht="12.75" customHeight="1" x14ac:dyDescent="0.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spans="1:32" ht="12.75" customHeight="1" x14ac:dyDescent="0.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spans="1:32" ht="12.75" customHeight="1" x14ac:dyDescent="0.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spans="1:32" ht="12.75" customHeight="1" x14ac:dyDescent="0.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spans="1:32" ht="12.75" customHeight="1" x14ac:dyDescent="0.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spans="1:32" ht="12.75" customHeight="1" x14ac:dyDescent="0.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spans="1:32" ht="12.75" customHeight="1" x14ac:dyDescent="0.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spans="1:32" ht="12.75" customHeight="1" x14ac:dyDescent="0.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spans="1:32" ht="12.75" customHeight="1" x14ac:dyDescent="0.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spans="1:32" ht="12.75" customHeight="1" x14ac:dyDescent="0.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spans="1:32" ht="12.75" customHeight="1" x14ac:dyDescent="0.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spans="1:32" ht="12.75" customHeight="1" x14ac:dyDescent="0.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spans="1:32" ht="12.75" customHeight="1" x14ac:dyDescent="0.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spans="1:32" ht="12.75" customHeight="1" x14ac:dyDescent="0.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spans="1:32" ht="12.75" customHeight="1" x14ac:dyDescent="0.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spans="1:32" ht="12.75" customHeight="1" x14ac:dyDescent="0.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spans="1:32" ht="12.75" customHeight="1" x14ac:dyDescent="0.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spans="1:32" ht="12.75" customHeight="1" x14ac:dyDescent="0.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spans="1:32" ht="12.75" customHeight="1" x14ac:dyDescent="0.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spans="1:32" ht="12.75" customHeight="1" x14ac:dyDescent="0.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spans="1:32" ht="12.75" customHeight="1" x14ac:dyDescent="0.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spans="1:32" ht="12.75" customHeight="1" x14ac:dyDescent="0.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spans="1:32" ht="12.75" customHeight="1" x14ac:dyDescent="0.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spans="1:32" ht="12.75" customHeight="1" x14ac:dyDescent="0.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spans="1:32" ht="12.75" customHeight="1" x14ac:dyDescent="0.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spans="1:32" ht="12.75" customHeight="1" x14ac:dyDescent="0.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spans="1:32" ht="12.75" customHeight="1" x14ac:dyDescent="0.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spans="1:32" ht="12.75" customHeight="1" x14ac:dyDescent="0.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spans="1:32" ht="12.75" customHeight="1" x14ac:dyDescent="0.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spans="1:32" ht="12.75" customHeight="1" x14ac:dyDescent="0.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spans="1:32" ht="12.75" customHeight="1" x14ac:dyDescent="0.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spans="1:32" ht="12.75" customHeight="1" x14ac:dyDescent="0.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spans="1:32" ht="12.75" customHeight="1" x14ac:dyDescent="0.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spans="1:32" ht="12.75" customHeight="1" x14ac:dyDescent="0.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spans="1:32" ht="12.75" customHeight="1" x14ac:dyDescent="0.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spans="1:32" ht="12.75" customHeight="1" x14ac:dyDescent="0.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spans="1:32" ht="12.75" customHeight="1" x14ac:dyDescent="0.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spans="1:32" ht="12.75" customHeight="1" x14ac:dyDescent="0.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spans="1:32" ht="12.75" customHeight="1" x14ac:dyDescent="0.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spans="1:32" ht="12.75" customHeight="1" x14ac:dyDescent="0.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spans="1:32" ht="12.75" customHeight="1" x14ac:dyDescent="0.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spans="1:32" ht="12.75" customHeight="1" x14ac:dyDescent="0.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spans="1:32" ht="12.75" customHeight="1" x14ac:dyDescent="0.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spans="1:32" ht="12.75" customHeight="1" x14ac:dyDescent="0.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spans="1:32" ht="12.75" customHeight="1" x14ac:dyDescent="0.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spans="1:32" ht="12.75" customHeight="1" x14ac:dyDescent="0.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spans="1:32" ht="12.75" customHeight="1" x14ac:dyDescent="0.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spans="1:32" ht="12.75" customHeight="1" x14ac:dyDescent="0.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spans="1:32" ht="12.75" customHeight="1" x14ac:dyDescent="0.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spans="1:32" ht="12.75" customHeight="1" x14ac:dyDescent="0.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spans="1:32" ht="12.75" customHeight="1" x14ac:dyDescent="0.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spans="1:32" ht="12.75" customHeight="1" x14ac:dyDescent="0.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spans="1:32" ht="12.75" customHeight="1" x14ac:dyDescent="0.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spans="1:32" ht="12.75" customHeight="1" x14ac:dyDescent="0.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spans="1:32" ht="12.75" customHeight="1" x14ac:dyDescent="0.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spans="1:32" ht="12.75" customHeight="1" x14ac:dyDescent="0.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spans="1:32" ht="12.75" customHeight="1" x14ac:dyDescent="0.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spans="1:32" ht="12.75" customHeight="1" x14ac:dyDescent="0.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spans="1:32" ht="12.75" customHeight="1" x14ac:dyDescent="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spans="1:32" ht="12.75" customHeight="1" x14ac:dyDescent="0.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spans="1:32" ht="12.75" customHeight="1" x14ac:dyDescent="0.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spans="1:32" ht="12.75" customHeight="1" x14ac:dyDescent="0.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spans="1:32" ht="12.75" customHeight="1" x14ac:dyDescent="0.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spans="1:32" ht="12.75" customHeight="1" x14ac:dyDescent="0.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spans="1:32" ht="12.75" customHeight="1" x14ac:dyDescent="0.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spans="1:32" ht="12.75" customHeight="1" x14ac:dyDescent="0.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spans="1:32" ht="12.75" customHeight="1" x14ac:dyDescent="0.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spans="1:32" ht="12.75" customHeight="1" x14ac:dyDescent="0.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spans="1:32" ht="12.75" customHeight="1" x14ac:dyDescent="0.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spans="1:32" ht="12.75" customHeight="1" x14ac:dyDescent="0.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spans="1:32" ht="12.75" customHeight="1" x14ac:dyDescent="0.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spans="1:32" ht="12.75" customHeight="1" x14ac:dyDescent="0.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spans="1:32" ht="12.75" customHeight="1" x14ac:dyDescent="0.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spans="1:32" ht="12.75" customHeight="1" x14ac:dyDescent="0.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spans="1:32" ht="12.75" customHeight="1" x14ac:dyDescent="0.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spans="1:32" ht="12.75" customHeight="1" x14ac:dyDescent="0.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spans="1:32" ht="12.75" customHeight="1" x14ac:dyDescent="0.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spans="1:32" ht="12.75" customHeight="1" x14ac:dyDescent="0.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spans="1:32" ht="12.75" customHeight="1" x14ac:dyDescent="0.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spans="1:32" ht="12.75" customHeight="1" x14ac:dyDescent="0.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spans="1:32" ht="12.75" customHeight="1" x14ac:dyDescent="0.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spans="1:32" ht="12.75" customHeight="1" x14ac:dyDescent="0.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spans="1:32" ht="12.75" customHeight="1" x14ac:dyDescent="0.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spans="1:32" ht="12.75" customHeight="1" x14ac:dyDescent="0.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spans="1:32" ht="12.75" customHeight="1" x14ac:dyDescent="0.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spans="1:32" ht="12.75" customHeight="1" x14ac:dyDescent="0.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spans="1:32" ht="12.75" customHeight="1" x14ac:dyDescent="0.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spans="1:32" ht="12.75" customHeight="1" x14ac:dyDescent="0.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spans="1:32" ht="12.75" customHeight="1" x14ac:dyDescent="0.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spans="1:32" ht="12.75" customHeight="1" x14ac:dyDescent="0.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spans="1:32" ht="12.75" customHeight="1" x14ac:dyDescent="0.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spans="1:32" ht="12.75" customHeight="1" x14ac:dyDescent="0.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spans="1:32" ht="12.75" customHeight="1" x14ac:dyDescent="0.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spans="1:32" ht="12.75" customHeight="1" x14ac:dyDescent="0.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spans="1:32" ht="12.75" customHeight="1" x14ac:dyDescent="0.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spans="1:32" ht="12.75" customHeight="1" x14ac:dyDescent="0.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spans="1:32" ht="12.75" customHeight="1" x14ac:dyDescent="0.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spans="1:32" ht="12.75" customHeight="1" x14ac:dyDescent="0.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spans="1:32" ht="12.75" customHeight="1" x14ac:dyDescent="0.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spans="1:32" ht="12.75" customHeight="1" x14ac:dyDescent="0.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spans="1:32" ht="12.75" customHeight="1" x14ac:dyDescent="0.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spans="1:32" ht="12.75" customHeight="1" x14ac:dyDescent="0.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spans="1:32" ht="12.75" customHeight="1" x14ac:dyDescent="0.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spans="1:32" ht="12.75" customHeight="1" x14ac:dyDescent="0.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spans="1:32" ht="12.75" customHeight="1" x14ac:dyDescent="0.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spans="1:32" ht="12.75" customHeight="1" x14ac:dyDescent="0.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spans="1:32" ht="12.75" customHeight="1" x14ac:dyDescent="0.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spans="1:32" ht="12.75" customHeight="1" x14ac:dyDescent="0.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spans="1:32" ht="12.75" customHeight="1" x14ac:dyDescent="0.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spans="1:32" ht="12.75" customHeight="1" x14ac:dyDescent="0.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spans="1:32" ht="12.75" customHeight="1" x14ac:dyDescent="0.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spans="1:32" ht="12.75" customHeight="1" x14ac:dyDescent="0.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spans="1:32" ht="12.75" customHeight="1" x14ac:dyDescent="0.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spans="1:32" ht="12.75" customHeight="1" x14ac:dyDescent="0.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spans="1:32" ht="12.75" customHeight="1" x14ac:dyDescent="0.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spans="1:32" ht="12.75" customHeight="1" x14ac:dyDescent="0.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spans="1:32" ht="12.75" customHeight="1" x14ac:dyDescent="0.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spans="1:32" ht="12.75" customHeight="1" x14ac:dyDescent="0.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spans="1:32" ht="12.75" customHeight="1" x14ac:dyDescent="0.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spans="1:32" ht="12.75" customHeight="1" x14ac:dyDescent="0.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spans="1:32" ht="12.75" customHeight="1" x14ac:dyDescent="0.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spans="1:32" ht="12.75" customHeight="1" x14ac:dyDescent="0.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spans="1:32" ht="12.75" customHeight="1" x14ac:dyDescent="0.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spans="1:32" ht="12.75" customHeight="1" x14ac:dyDescent="0.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spans="1:32" ht="12.75" customHeight="1" x14ac:dyDescent="0.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spans="1:32" ht="12.75" customHeight="1" x14ac:dyDescent="0.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spans="1:32" ht="12.75" customHeight="1" x14ac:dyDescent="0.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spans="1:32" ht="12.75" customHeight="1" x14ac:dyDescent="0.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spans="1:32" ht="12.75" customHeight="1" x14ac:dyDescent="0.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spans="1:32" ht="12.75" customHeight="1" x14ac:dyDescent="0.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spans="1:32" ht="12.75" customHeight="1" x14ac:dyDescent="0.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spans="1:32" ht="12.75" customHeight="1" x14ac:dyDescent="0.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spans="1:32" ht="12.75" customHeight="1" x14ac:dyDescent="0.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spans="1:32" ht="12.75" customHeight="1" x14ac:dyDescent="0.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spans="1:32" ht="12.75" customHeight="1" x14ac:dyDescent="0.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spans="1:32" ht="12.75" customHeight="1" x14ac:dyDescent="0.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spans="1:32" ht="12.75" customHeight="1" x14ac:dyDescent="0.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spans="1:32" ht="12.75" customHeight="1" x14ac:dyDescent="0.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spans="1:32" ht="12.75" customHeight="1" x14ac:dyDescent="0.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spans="1:32" ht="12.75" customHeight="1" x14ac:dyDescent="0.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spans="1:32" ht="12.75" customHeight="1" x14ac:dyDescent="0.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spans="1:32" ht="12.75" customHeight="1" x14ac:dyDescent="0.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spans="1:32" ht="12.75" customHeight="1" x14ac:dyDescent="0.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spans="1:32" ht="12.75" customHeight="1" x14ac:dyDescent="0.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spans="1:32" ht="12.75" customHeight="1" x14ac:dyDescent="0.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spans="1:32" ht="12.75" customHeight="1" x14ac:dyDescent="0.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spans="1:32" ht="12.75" customHeight="1" x14ac:dyDescent="0.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spans="1:32" ht="12.75" customHeight="1" x14ac:dyDescent="0.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spans="1:32" ht="12.75" customHeight="1" x14ac:dyDescent="0.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spans="1:32" ht="12.75" customHeight="1" x14ac:dyDescent="0.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spans="1:32" ht="12.75" customHeight="1" x14ac:dyDescent="0.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spans="1:32" ht="12.75" customHeight="1" x14ac:dyDescent="0.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spans="1:32" ht="12.75" customHeight="1" x14ac:dyDescent="0.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spans="1:32" ht="12.75" customHeight="1" x14ac:dyDescent="0.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spans="1:32" ht="12.75" customHeight="1" x14ac:dyDescent="0.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spans="1:32" ht="12.75" customHeight="1" x14ac:dyDescent="0.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spans="1:32" ht="12.75" customHeight="1" x14ac:dyDescent="0.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spans="1:32" ht="12.75" customHeight="1" x14ac:dyDescent="0.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spans="1:32" ht="12.75" customHeight="1" x14ac:dyDescent="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spans="1:32" ht="12.75" customHeight="1" x14ac:dyDescent="0.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spans="1:32" ht="12.75" customHeight="1" x14ac:dyDescent="0.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spans="1:32" ht="12.75" customHeight="1" x14ac:dyDescent="0.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spans="1:32" ht="12.75" customHeight="1" x14ac:dyDescent="0.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spans="1:32" ht="12.75" customHeight="1" x14ac:dyDescent="0.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spans="1:32" ht="12.75" customHeight="1" x14ac:dyDescent="0.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spans="1:32" ht="12.75" customHeight="1" x14ac:dyDescent="0.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spans="1:32" ht="12.75" customHeight="1" x14ac:dyDescent="0.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spans="1:32" ht="12.75" customHeight="1" x14ac:dyDescent="0.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spans="1:32" ht="12.75" customHeight="1" x14ac:dyDescent="0.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spans="1:32" ht="12.75" customHeight="1" x14ac:dyDescent="0.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spans="1:32" ht="12.75" customHeight="1" x14ac:dyDescent="0.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spans="1:32" ht="12.75" customHeight="1" x14ac:dyDescent="0.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spans="1:32" ht="12.75" customHeight="1" x14ac:dyDescent="0.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spans="1:32" ht="12.75" customHeight="1" x14ac:dyDescent="0.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spans="1:32" ht="12.75" customHeight="1" x14ac:dyDescent="0.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spans="1:32" ht="12.75" customHeight="1" x14ac:dyDescent="0.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spans="1:32" ht="12.75" customHeight="1" x14ac:dyDescent="0.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spans="1:32" ht="12.75" customHeight="1" x14ac:dyDescent="0.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spans="1:32" ht="12.75" customHeight="1" x14ac:dyDescent="0.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spans="1:32" ht="12.75" customHeight="1" x14ac:dyDescent="0.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spans="1:32" ht="12.75" customHeight="1" x14ac:dyDescent="0.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spans="1:32" ht="12.75" customHeight="1" x14ac:dyDescent="0.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spans="1:32" ht="12.75" customHeight="1" x14ac:dyDescent="0.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spans="1:32" ht="12.75" customHeight="1" x14ac:dyDescent="0.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spans="1:32" ht="12.75" customHeight="1" x14ac:dyDescent="0.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spans="1:32" ht="12.75" customHeight="1" x14ac:dyDescent="0.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spans="1:32" ht="12.75" customHeight="1" x14ac:dyDescent="0.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spans="1:32" ht="12.75" customHeight="1" x14ac:dyDescent="0.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spans="1:32" ht="12.75" customHeight="1" x14ac:dyDescent="0.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spans="1:32" ht="12.75" customHeight="1" x14ac:dyDescent="0.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spans="1:32" ht="12.75" customHeight="1" x14ac:dyDescent="0.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spans="1:32" ht="12.75" customHeight="1" x14ac:dyDescent="0.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spans="1:32" ht="12.75" customHeight="1" x14ac:dyDescent="0.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spans="1:32" ht="12.75" customHeight="1" x14ac:dyDescent="0.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spans="1:32" ht="12.75" customHeight="1" x14ac:dyDescent="0.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spans="1:32" ht="12.75" customHeight="1" x14ac:dyDescent="0.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spans="1:32" ht="12.75" customHeight="1" x14ac:dyDescent="0.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spans="1:32" ht="12.75" customHeight="1" x14ac:dyDescent="0.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spans="1:32" ht="12.75" customHeight="1" x14ac:dyDescent="0.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spans="1:32" ht="12.75" customHeight="1" x14ac:dyDescent="0.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spans="1:32" ht="12.75" customHeight="1" x14ac:dyDescent="0.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spans="1:32" ht="12.75" customHeight="1" x14ac:dyDescent="0.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spans="1:32" ht="12.75" customHeight="1" x14ac:dyDescent="0.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spans="1:32" ht="12.75" customHeight="1" x14ac:dyDescent="0.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spans="1:32" ht="12.75" customHeight="1" x14ac:dyDescent="0.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spans="1:32" ht="12.75" customHeight="1" x14ac:dyDescent="0.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spans="1:32" ht="12.75" customHeight="1" x14ac:dyDescent="0.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spans="1:32" ht="12.75" customHeight="1" x14ac:dyDescent="0.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spans="1:32" ht="12.75" customHeight="1" x14ac:dyDescent="0.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spans="1:32" ht="12.75" customHeight="1" x14ac:dyDescent="0.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spans="1:32" ht="12.75" customHeight="1" x14ac:dyDescent="0.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spans="1:32" ht="12.75" customHeight="1" x14ac:dyDescent="0.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spans="1:32" ht="12.75" customHeight="1" x14ac:dyDescent="0.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spans="1:32" ht="12.75" customHeight="1" x14ac:dyDescent="0.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spans="1:32" ht="12.75" customHeight="1" x14ac:dyDescent="0.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spans="1:32" ht="12.75" customHeight="1" x14ac:dyDescent="0.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spans="1:32" ht="12.75" customHeight="1" x14ac:dyDescent="0.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spans="1:32" ht="12.75" customHeight="1" x14ac:dyDescent="0.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spans="1:32" ht="12.75" customHeight="1" x14ac:dyDescent="0.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spans="1:32" ht="12.75" customHeight="1" x14ac:dyDescent="0.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spans="1:32" ht="12.75" customHeight="1" x14ac:dyDescent="0.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spans="1:32" ht="12.75" customHeight="1" x14ac:dyDescent="0.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spans="1:32" ht="12.75" customHeight="1" x14ac:dyDescent="0.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spans="1:32" ht="12.75" customHeight="1" x14ac:dyDescent="0.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spans="1:32" ht="12.75" customHeight="1" x14ac:dyDescent="0.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spans="1:32" ht="12.75" customHeight="1" x14ac:dyDescent="0.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spans="1:32" ht="12.75" customHeight="1" x14ac:dyDescent="0.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spans="1:32" ht="12.75" customHeight="1" x14ac:dyDescent="0.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spans="1:32" ht="12.75" customHeight="1" x14ac:dyDescent="0.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spans="1:32" ht="12.75" customHeight="1" x14ac:dyDescent="0.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spans="1:32" ht="12.75" customHeight="1" x14ac:dyDescent="0.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spans="1:32" ht="12.75" customHeight="1" x14ac:dyDescent="0.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spans="1:32" ht="12.75" customHeight="1" x14ac:dyDescent="0.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spans="1:32" ht="12.75" customHeight="1" x14ac:dyDescent="0.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spans="1:32" ht="12.75" customHeight="1" x14ac:dyDescent="0.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spans="1:32" ht="12.75" customHeight="1" x14ac:dyDescent="0.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spans="1:32" ht="12.75" customHeight="1" x14ac:dyDescent="0.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spans="1:32" ht="12.75" customHeight="1" x14ac:dyDescent="0.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spans="1:32" ht="12.75" customHeight="1" x14ac:dyDescent="0.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spans="1:32" ht="12.75" customHeight="1" x14ac:dyDescent="0.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spans="1:32" ht="12.75" customHeight="1" x14ac:dyDescent="0.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spans="1:32" ht="12.75" customHeight="1" x14ac:dyDescent="0.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spans="1:32" ht="12.75" customHeight="1" x14ac:dyDescent="0.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spans="1:32" ht="12.75" customHeight="1" x14ac:dyDescent="0.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spans="1:32" ht="12.75" customHeight="1" x14ac:dyDescent="0.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spans="1:32" ht="12.75" customHeight="1" x14ac:dyDescent="0.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spans="1:32" ht="12.75" customHeight="1" x14ac:dyDescent="0.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spans="1:32" ht="12.75" customHeight="1" x14ac:dyDescent="0.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spans="1:32" ht="12.75" customHeight="1" x14ac:dyDescent="0.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spans="1:32" ht="12.75" customHeight="1" x14ac:dyDescent="0.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spans="1:32" ht="12.75" customHeight="1" x14ac:dyDescent="0.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spans="1:32" ht="12.75" customHeight="1" x14ac:dyDescent="0.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spans="1:32" ht="12.75" customHeight="1" x14ac:dyDescent="0.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spans="1:32" ht="12.75" customHeight="1" x14ac:dyDescent="0.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spans="1:32" ht="12.75" customHeight="1" x14ac:dyDescent="0.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spans="1:32" ht="12.75" customHeight="1" x14ac:dyDescent="0.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spans="1:32" ht="12.75" customHeight="1" x14ac:dyDescent="0.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spans="1:32" ht="12.75" customHeight="1" x14ac:dyDescent="0.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spans="1:32" ht="12.75" customHeight="1" x14ac:dyDescent="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spans="1:32" ht="12.75" customHeight="1" x14ac:dyDescent="0.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spans="1:32" ht="12.75" customHeight="1" x14ac:dyDescent="0.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spans="1:32" ht="12.75" customHeight="1" x14ac:dyDescent="0.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spans="1:32" ht="12.75" customHeight="1" x14ac:dyDescent="0.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spans="1:32" ht="12.75" customHeight="1" x14ac:dyDescent="0.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spans="1:32" ht="12.75" customHeight="1" x14ac:dyDescent="0.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spans="1:32" ht="12.75" customHeight="1" x14ac:dyDescent="0.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spans="1:32" ht="12.75" customHeight="1" x14ac:dyDescent="0.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spans="1:32" ht="12.75" customHeight="1" x14ac:dyDescent="0.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spans="1:32" ht="12.75" customHeight="1" x14ac:dyDescent="0.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spans="1:32" ht="12.75" customHeight="1" x14ac:dyDescent="0.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spans="1:32" ht="12.75" customHeight="1" x14ac:dyDescent="0.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spans="1:32" ht="12.75" customHeight="1" x14ac:dyDescent="0.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spans="1:32" ht="12.75" customHeight="1" x14ac:dyDescent="0.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spans="1:32" ht="12.75" customHeight="1" x14ac:dyDescent="0.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spans="1:32" ht="12.75" customHeight="1" x14ac:dyDescent="0.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spans="1:32" ht="12.75" customHeight="1" x14ac:dyDescent="0.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spans="1:32" ht="12.75" customHeight="1" x14ac:dyDescent="0.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spans="1:32" ht="12.75" customHeight="1" x14ac:dyDescent="0.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spans="1:32" ht="12.75" customHeight="1" x14ac:dyDescent="0.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spans="1:32" ht="12.75" customHeight="1" x14ac:dyDescent="0.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spans="1:32" ht="12.75" customHeight="1" x14ac:dyDescent="0.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spans="1:32" ht="12.75" customHeight="1" x14ac:dyDescent="0.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spans="1:32" ht="12.75" customHeight="1" x14ac:dyDescent="0.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spans="1:32" ht="12.75" customHeight="1" x14ac:dyDescent="0.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spans="1:32" ht="12.75" customHeight="1" x14ac:dyDescent="0.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spans="1:32" ht="12.75" customHeight="1" x14ac:dyDescent="0.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spans="1:32" ht="12.75" customHeight="1" x14ac:dyDescent="0.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spans="1:32" ht="12.75" customHeight="1" x14ac:dyDescent="0.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spans="1:32" ht="12.75" customHeight="1" x14ac:dyDescent="0.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spans="1:32" ht="12.75" customHeight="1" x14ac:dyDescent="0.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spans="1:32" ht="12.75" customHeight="1" x14ac:dyDescent="0.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spans="1:32" ht="12.75" customHeight="1" x14ac:dyDescent="0.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spans="1:32" ht="12.75" customHeight="1" x14ac:dyDescent="0.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spans="1:32" ht="12.75" customHeight="1" x14ac:dyDescent="0.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spans="1:32" ht="12.75" customHeight="1" x14ac:dyDescent="0.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spans="1:32" ht="12.75" customHeight="1" x14ac:dyDescent="0.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spans="1:32" ht="12.75" customHeight="1" x14ac:dyDescent="0.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spans="1:32" ht="12.75" customHeight="1" x14ac:dyDescent="0.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spans="1:32" ht="12.75" customHeight="1" x14ac:dyDescent="0.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spans="1:32" ht="12.75" customHeight="1" x14ac:dyDescent="0.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spans="1:32" ht="12.75" customHeight="1" x14ac:dyDescent="0.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spans="1:32" ht="12.75" customHeight="1" x14ac:dyDescent="0.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spans="1:32" ht="12.75" customHeight="1" x14ac:dyDescent="0.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spans="1:32" ht="12.75" customHeight="1" x14ac:dyDescent="0.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spans="1:32" ht="12.75" customHeight="1" x14ac:dyDescent="0.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spans="1:32" ht="12.75" customHeight="1" x14ac:dyDescent="0.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spans="1:32" ht="12.75" customHeight="1" x14ac:dyDescent="0.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spans="1:32" ht="12.75" customHeight="1" x14ac:dyDescent="0.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spans="1:32" ht="12.75" customHeight="1" x14ac:dyDescent="0.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spans="1:32" ht="12.75" customHeight="1" x14ac:dyDescent="0.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spans="1:32" ht="12.75" customHeight="1" x14ac:dyDescent="0.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spans="1:32" ht="12.75" customHeight="1" x14ac:dyDescent="0.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spans="1:32" ht="12.75" customHeight="1" x14ac:dyDescent="0.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spans="1:32" ht="12.75" customHeight="1" x14ac:dyDescent="0.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spans="1:32" ht="12.75" customHeight="1" x14ac:dyDescent="0.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spans="1:32" ht="12.75" customHeight="1" x14ac:dyDescent="0.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spans="1:32" ht="12.75" customHeight="1" x14ac:dyDescent="0.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spans="1:32" ht="12.75" customHeight="1" x14ac:dyDescent="0.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spans="1:32" ht="12.75" customHeight="1" x14ac:dyDescent="0.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spans="1:32" ht="12.75" customHeight="1" x14ac:dyDescent="0.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spans="1:32" ht="12.75" customHeight="1" x14ac:dyDescent="0.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spans="1:32" ht="12.75" customHeight="1" x14ac:dyDescent="0.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spans="1:32" ht="12.75" customHeight="1" x14ac:dyDescent="0.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spans="1:32" ht="12.75" customHeight="1" x14ac:dyDescent="0.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spans="1:32" ht="12.75" customHeight="1" x14ac:dyDescent="0.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spans="1:32" ht="12.75" customHeight="1" x14ac:dyDescent="0.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spans="1:32" ht="12.75" customHeight="1" x14ac:dyDescent="0.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spans="1:32" ht="12.75" customHeight="1" x14ac:dyDescent="0.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spans="1:32" ht="12.75" customHeight="1" x14ac:dyDescent="0.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spans="1:32" ht="12.75" customHeight="1" x14ac:dyDescent="0.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spans="1:32" ht="12.75" customHeight="1" x14ac:dyDescent="0.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spans="1:32" ht="12.75" customHeight="1" x14ac:dyDescent="0.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spans="1:32" ht="12.75" customHeight="1" x14ac:dyDescent="0.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spans="1:32" ht="12.75" customHeight="1" x14ac:dyDescent="0.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spans="1:32" ht="12.75" customHeight="1" x14ac:dyDescent="0.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spans="1:32" ht="12.75" customHeight="1" x14ac:dyDescent="0.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spans="1:32" ht="12.75" customHeight="1" x14ac:dyDescent="0.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spans="1:32" ht="12.75" customHeight="1" x14ac:dyDescent="0.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spans="1:32" ht="12.75" customHeight="1" x14ac:dyDescent="0.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spans="1:32" ht="12.75" customHeight="1" x14ac:dyDescent="0.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spans="1:32" ht="12.75" customHeight="1" x14ac:dyDescent="0.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spans="1:32" ht="12.75" customHeight="1" x14ac:dyDescent="0.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spans="1:32" ht="12.75" customHeight="1" x14ac:dyDescent="0.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spans="1:32" ht="12.75" customHeight="1" x14ac:dyDescent="0.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spans="1:32" ht="12.75" customHeight="1" x14ac:dyDescent="0.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spans="1:32" ht="12.75" customHeight="1" x14ac:dyDescent="0.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spans="1:32" ht="12.75" customHeight="1" x14ac:dyDescent="0.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spans="1:32" ht="12.75" customHeight="1" x14ac:dyDescent="0.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spans="1:32" ht="12.75" customHeight="1" x14ac:dyDescent="0.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spans="1:32" ht="12.75" customHeight="1" x14ac:dyDescent="0.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spans="1:32" ht="12.75" customHeight="1" x14ac:dyDescent="0.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spans="1:32" ht="12.75" customHeight="1" x14ac:dyDescent="0.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spans="1:32" ht="12.75" customHeight="1" x14ac:dyDescent="0.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spans="1:32" ht="12.75" customHeight="1" x14ac:dyDescent="0.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spans="1:32" ht="12.75" customHeight="1" x14ac:dyDescent="0.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spans="1:32" ht="12.75" customHeight="1" x14ac:dyDescent="0.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spans="1:32" ht="12.75" customHeight="1" x14ac:dyDescent="0.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spans="1:32" ht="12.75" customHeight="1" x14ac:dyDescent="0.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spans="1:32" ht="12.75" customHeight="1" x14ac:dyDescent="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spans="1:32" ht="12.75" customHeight="1" x14ac:dyDescent="0.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spans="1:32" ht="12.75" customHeight="1" x14ac:dyDescent="0.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spans="1:32" ht="12.75" customHeight="1" x14ac:dyDescent="0.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spans="1:32" ht="12.75" customHeight="1" x14ac:dyDescent="0.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spans="1:32" ht="12.75" customHeight="1" x14ac:dyDescent="0.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spans="1:32" ht="12.75" customHeight="1" x14ac:dyDescent="0.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spans="1:32" ht="12.75" customHeight="1" x14ac:dyDescent="0.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spans="1:32" ht="12.75" customHeight="1" x14ac:dyDescent="0.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spans="1:32" ht="12.75" customHeight="1" x14ac:dyDescent="0.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spans="1:32" ht="12.75" customHeight="1" x14ac:dyDescent="0.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spans="1:32" ht="12.75" customHeight="1" x14ac:dyDescent="0.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spans="1:32" ht="12.75" customHeight="1" x14ac:dyDescent="0.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spans="1:32" ht="12.75" customHeight="1" x14ac:dyDescent="0.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spans="1:32" ht="12.75" customHeight="1" x14ac:dyDescent="0.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spans="1:32" ht="12.75" customHeight="1" x14ac:dyDescent="0.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spans="1:32" ht="12.75" customHeight="1" x14ac:dyDescent="0.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spans="1:32" ht="12.75" customHeight="1" x14ac:dyDescent="0.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spans="1:32" ht="12.75" customHeight="1" x14ac:dyDescent="0.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spans="1:32" ht="12.75" customHeight="1" x14ac:dyDescent="0.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spans="1:32" ht="12.75" customHeight="1" x14ac:dyDescent="0.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spans="1:32" ht="12.75" customHeight="1" x14ac:dyDescent="0.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spans="1:32" ht="12.75" customHeight="1" x14ac:dyDescent="0.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spans="1:32" ht="12.75" customHeight="1" x14ac:dyDescent="0.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spans="1:32" ht="12.75" customHeight="1" x14ac:dyDescent="0.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spans="1:32" ht="12.75" customHeight="1" x14ac:dyDescent="0.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spans="1:32" ht="12.75" customHeight="1" x14ac:dyDescent="0.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spans="1:32" ht="12.75" customHeight="1" x14ac:dyDescent="0.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spans="1:32" ht="12.75" customHeight="1" x14ac:dyDescent="0.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spans="1:32" ht="12.75" customHeight="1" x14ac:dyDescent="0.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spans="1:32" ht="12.75" customHeight="1" x14ac:dyDescent="0.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spans="1:32" ht="12.75" customHeight="1" x14ac:dyDescent="0.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spans="1:32" ht="12.75" customHeight="1" x14ac:dyDescent="0.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spans="1:32" ht="12.75" customHeight="1" x14ac:dyDescent="0.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spans="1:32" ht="12.75" customHeight="1" x14ac:dyDescent="0.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spans="1:32" ht="12.75" customHeight="1" x14ac:dyDescent="0.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spans="1:32" ht="12.75" customHeight="1" x14ac:dyDescent="0.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spans="1:32" ht="12.75" customHeight="1" x14ac:dyDescent="0.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spans="1:32" ht="12.75" customHeight="1" x14ac:dyDescent="0.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spans="1:32" ht="12.75" customHeight="1" x14ac:dyDescent="0.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spans="1:32" ht="12.75" customHeight="1" x14ac:dyDescent="0.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spans="1:32" ht="12.75" customHeight="1" x14ac:dyDescent="0.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spans="1:32" ht="12.75" customHeight="1" x14ac:dyDescent="0.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spans="1:32" ht="12.75" customHeight="1" x14ac:dyDescent="0.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spans="1:32" ht="12.75" customHeight="1" x14ac:dyDescent="0.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spans="1:32" ht="12.75" customHeight="1" x14ac:dyDescent="0.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spans="1:32" ht="12.75" customHeight="1" x14ac:dyDescent="0.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spans="1:32" ht="12.75" customHeight="1" x14ac:dyDescent="0.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spans="1:32" ht="12.75" customHeight="1" x14ac:dyDescent="0.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spans="1:32" ht="12.75" customHeight="1" x14ac:dyDescent="0.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spans="1:32" ht="12.75" customHeight="1" x14ac:dyDescent="0.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spans="1:32" ht="12.75" customHeight="1" x14ac:dyDescent="0.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spans="1:32" ht="12.75" customHeight="1" x14ac:dyDescent="0.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spans="1:32" ht="12.75" customHeight="1" x14ac:dyDescent="0.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spans="1:32" ht="12.75" customHeight="1" x14ac:dyDescent="0.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spans="1:32" ht="12.75" customHeight="1" x14ac:dyDescent="0.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spans="1:32" ht="12.75" customHeight="1" x14ac:dyDescent="0.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spans="1:32" ht="12.75" customHeight="1" x14ac:dyDescent="0.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spans="1:32" ht="12.75" customHeight="1" x14ac:dyDescent="0.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spans="1:32" ht="12.75" customHeight="1" x14ac:dyDescent="0.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spans="1:32" ht="12.75" customHeight="1" x14ac:dyDescent="0.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spans="1:32" ht="12.75" customHeight="1" x14ac:dyDescent="0.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spans="1:32" ht="12.75" customHeight="1" x14ac:dyDescent="0.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spans="1:32" ht="12.75" customHeight="1" x14ac:dyDescent="0.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spans="1:32" ht="12.75" customHeight="1" x14ac:dyDescent="0.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spans="1:32" ht="12.75" customHeight="1" x14ac:dyDescent="0.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spans="1:32" ht="12.75" customHeight="1" x14ac:dyDescent="0.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spans="1:32" ht="12.75" customHeight="1" x14ac:dyDescent="0.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spans="1:32" ht="12.75" customHeight="1" x14ac:dyDescent="0.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spans="1:32" ht="12.75" customHeight="1" x14ac:dyDescent="0.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spans="1:32" ht="12.75" customHeight="1" x14ac:dyDescent="0.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spans="1:32" ht="12.75" customHeight="1" x14ac:dyDescent="0.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spans="1:32" ht="12.75" customHeight="1" x14ac:dyDescent="0.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spans="1:32" ht="12.75" customHeight="1" x14ac:dyDescent="0.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spans="1:32" ht="12.75" customHeight="1" x14ac:dyDescent="0.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spans="1:32" ht="12.75" customHeight="1" x14ac:dyDescent="0.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spans="1:32" ht="12.75" customHeight="1" x14ac:dyDescent="0.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spans="1:32" ht="12.75" customHeight="1" x14ac:dyDescent="0.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spans="1:32" ht="12.75" customHeight="1" x14ac:dyDescent="0.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spans="1:32" ht="12.75" customHeight="1" x14ac:dyDescent="0.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spans="1:32" ht="12.75" customHeight="1" x14ac:dyDescent="0.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spans="1:32" ht="12.75" customHeight="1" x14ac:dyDescent="0.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spans="1:32" ht="12.75" customHeight="1" x14ac:dyDescent="0.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spans="1:32" ht="12.75" customHeight="1" x14ac:dyDescent="0.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spans="1:32" ht="12.75" customHeight="1" x14ac:dyDescent="0.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spans="1:32" ht="12.75" customHeight="1" x14ac:dyDescent="0.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spans="1:32" ht="12.75" customHeight="1" x14ac:dyDescent="0.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spans="1:32" ht="12.75" customHeight="1" x14ac:dyDescent="0.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spans="1:32" ht="12.75" customHeight="1" x14ac:dyDescent="0.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spans="1:32" ht="12.75" customHeight="1" x14ac:dyDescent="0.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spans="1:32" ht="12.75" customHeight="1" x14ac:dyDescent="0.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spans="1:32" ht="12.75" customHeight="1" x14ac:dyDescent="0.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spans="1:32" ht="12.75" customHeight="1" x14ac:dyDescent="0.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spans="1:32" ht="12.75" customHeight="1" x14ac:dyDescent="0.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spans="1:32" ht="12.75" customHeight="1" x14ac:dyDescent="0.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spans="1:32" ht="12.75" customHeight="1" x14ac:dyDescent="0.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spans="1:32" ht="12.75" customHeight="1" x14ac:dyDescent="0.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spans="1:32" ht="12.75" customHeight="1" x14ac:dyDescent="0.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spans="1:32" ht="12.75" customHeight="1" x14ac:dyDescent="0.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spans="1:32" ht="12.75" customHeight="1" x14ac:dyDescent="0.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spans="1:32" ht="12.75" customHeight="1" x14ac:dyDescent="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spans="1:32" ht="12.75" customHeight="1" x14ac:dyDescent="0.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spans="1:32" ht="12.75" customHeight="1" x14ac:dyDescent="0.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spans="1:32" ht="12.75" customHeight="1" x14ac:dyDescent="0.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spans="1:32" ht="12.75" customHeight="1" x14ac:dyDescent="0.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spans="1:32" ht="12.75" customHeight="1" x14ac:dyDescent="0.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spans="1:32" ht="12.75" customHeight="1" x14ac:dyDescent="0.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spans="1:32" ht="12.75" customHeight="1" x14ac:dyDescent="0.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spans="1:32" ht="12.75" customHeight="1" x14ac:dyDescent="0.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spans="1:32" ht="12.75" customHeight="1" x14ac:dyDescent="0.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spans="1:32" ht="12.75" customHeight="1" x14ac:dyDescent="0.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spans="1:32" ht="12.75" customHeight="1" x14ac:dyDescent="0.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spans="1:32" ht="12.75" customHeight="1" x14ac:dyDescent="0.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spans="1:32" ht="12.75" customHeight="1" x14ac:dyDescent="0.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spans="1:32" ht="12.75" customHeight="1" x14ac:dyDescent="0.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spans="1:32" ht="12.75" customHeight="1" x14ac:dyDescent="0.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spans="1:32" ht="12.75" customHeight="1" x14ac:dyDescent="0.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spans="1:32" ht="12.75" customHeight="1" x14ac:dyDescent="0.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spans="1:32" ht="12.75" customHeight="1" x14ac:dyDescent="0.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spans="1:32" ht="12.75" customHeight="1" x14ac:dyDescent="0.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spans="1:32" ht="12.75" customHeight="1" x14ac:dyDescent="0.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spans="1:32" ht="12.75" customHeight="1" x14ac:dyDescent="0.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spans="1:32" ht="12.75" customHeight="1" x14ac:dyDescent="0.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spans="1:32" ht="12.75" customHeight="1" x14ac:dyDescent="0.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spans="1:32" ht="12.75" customHeight="1" x14ac:dyDescent="0.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spans="1:32" ht="12.75" customHeight="1" x14ac:dyDescent="0.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spans="1:32" ht="12.75" customHeight="1" x14ac:dyDescent="0.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spans="1:32" ht="12.75" customHeight="1" x14ac:dyDescent="0.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spans="1:32" ht="12.75" customHeight="1" x14ac:dyDescent="0.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spans="1:32" ht="12.75" customHeight="1" x14ac:dyDescent="0.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spans="1:32" ht="12.75" customHeight="1" x14ac:dyDescent="0.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spans="1:32" ht="12.75" customHeight="1" x14ac:dyDescent="0.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spans="1:32" ht="12.75" customHeight="1" x14ac:dyDescent="0.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spans="1:32" ht="12.75" customHeight="1" x14ac:dyDescent="0.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spans="1:32" ht="12.75" customHeight="1" x14ac:dyDescent="0.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spans="1:32" ht="12.75" customHeight="1" x14ac:dyDescent="0.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spans="1:32" ht="12.75" customHeight="1" x14ac:dyDescent="0.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spans="1:32" ht="12.75" customHeight="1" x14ac:dyDescent="0.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spans="1:32" ht="12.75" customHeight="1" x14ac:dyDescent="0.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spans="1:32" ht="12.75" customHeight="1" x14ac:dyDescent="0.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spans="1:32" ht="12.75" customHeight="1" x14ac:dyDescent="0.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spans="1:32" ht="12.75" customHeight="1" x14ac:dyDescent="0.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spans="1:32" ht="12.75" customHeight="1" x14ac:dyDescent="0.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spans="1:32" ht="12.75" customHeight="1" x14ac:dyDescent="0.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spans="1:32" ht="12.75" customHeight="1" x14ac:dyDescent="0.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spans="1:32" ht="12.75" customHeight="1" x14ac:dyDescent="0.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spans="1:32" ht="12.75" customHeight="1" x14ac:dyDescent="0.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spans="1:32" ht="12.75" customHeight="1" x14ac:dyDescent="0.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spans="1:32" ht="12.75" customHeight="1" x14ac:dyDescent="0.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spans="1:32" ht="12.75" customHeight="1" x14ac:dyDescent="0.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spans="1:32" ht="12.75" customHeight="1" x14ac:dyDescent="0.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spans="1:32" ht="12.75" customHeight="1" x14ac:dyDescent="0.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spans="1:32" ht="12.75" customHeight="1" x14ac:dyDescent="0.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spans="1:32" ht="12.75" customHeight="1" x14ac:dyDescent="0.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spans="1:32" ht="12.75" customHeight="1" x14ac:dyDescent="0.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spans="1:32" ht="12.75" customHeight="1" x14ac:dyDescent="0.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spans="1:32" ht="12.75" customHeight="1" x14ac:dyDescent="0.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spans="1:32" ht="12.75" customHeight="1" x14ac:dyDescent="0.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spans="1:32" ht="12.75" customHeight="1" x14ac:dyDescent="0.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spans="1:32" ht="12.75" customHeight="1" x14ac:dyDescent="0.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spans="1:32" ht="12.75" customHeight="1" x14ac:dyDescent="0.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spans="1:32" ht="12.75" customHeight="1" x14ac:dyDescent="0.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spans="1:32" ht="12.75" customHeight="1" x14ac:dyDescent="0.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spans="1:32" ht="12.75" customHeight="1" x14ac:dyDescent="0.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spans="1:32" ht="12.75" customHeight="1" x14ac:dyDescent="0.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spans="1:32" ht="12.75" customHeight="1" x14ac:dyDescent="0.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spans="1:32" ht="12.75" customHeight="1" x14ac:dyDescent="0.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spans="1:32" ht="12.75" customHeight="1" x14ac:dyDescent="0.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spans="1:32" ht="12.75" customHeight="1" x14ac:dyDescent="0.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spans="1:32" ht="12.75" customHeight="1" x14ac:dyDescent="0.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spans="1:32" ht="12.75" customHeight="1" x14ac:dyDescent="0.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spans="1:32" ht="12.75" customHeight="1" x14ac:dyDescent="0.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spans="1:32" ht="12.75" customHeight="1" x14ac:dyDescent="0.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spans="1:32" ht="12.75" customHeight="1" x14ac:dyDescent="0.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spans="1:32" ht="12.75" customHeight="1" x14ac:dyDescent="0.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spans="1:32" ht="12.75" customHeight="1" x14ac:dyDescent="0.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spans="1:32" ht="12.75" customHeight="1" x14ac:dyDescent="0.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spans="1:32" ht="12.75" customHeight="1" x14ac:dyDescent="0.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spans="1:32" ht="12.75" customHeight="1" x14ac:dyDescent="0.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spans="1:32" ht="12.75" customHeight="1" x14ac:dyDescent="0.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spans="1:32" ht="12.75" customHeight="1" x14ac:dyDescent="0.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spans="1:32" ht="12.75" customHeight="1" x14ac:dyDescent="0.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spans="1:32" ht="12.75" customHeight="1" x14ac:dyDescent="0.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spans="1:32" ht="12.75" customHeight="1" x14ac:dyDescent="0.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spans="1:32" ht="12.75" customHeight="1" x14ac:dyDescent="0.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spans="1:32" ht="12.75" customHeight="1" x14ac:dyDescent="0.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spans="1:32" ht="12.75" customHeight="1" x14ac:dyDescent="0.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spans="1:32" ht="12.75" customHeight="1" x14ac:dyDescent="0.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spans="1:32" ht="12.75" customHeight="1" x14ac:dyDescent="0.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spans="1:32" ht="12.75" customHeight="1" x14ac:dyDescent="0.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spans="1:32" ht="12.75" customHeight="1" x14ac:dyDescent="0.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spans="1:32" ht="12.75" customHeight="1" x14ac:dyDescent="0.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spans="1:32" ht="12.75" customHeight="1" x14ac:dyDescent="0.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spans="1:32" ht="12.75" customHeight="1" x14ac:dyDescent="0.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spans="1:32" ht="12.75" customHeight="1" x14ac:dyDescent="0.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spans="1:32" ht="12.75" customHeight="1" x14ac:dyDescent="0.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spans="1:32" ht="12.75" customHeight="1" x14ac:dyDescent="0.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spans="1:32" ht="12.75" customHeight="1" x14ac:dyDescent="0.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spans="1:32" ht="12.75" customHeight="1" x14ac:dyDescent="0.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spans="1:32" ht="12.75" customHeight="1" x14ac:dyDescent="0.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spans="1:32" ht="12.75" customHeight="1" x14ac:dyDescent="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spans="1:32" ht="12.75" customHeight="1" x14ac:dyDescent="0.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spans="1:32" ht="12.75" customHeight="1" x14ac:dyDescent="0.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spans="1:32" ht="12.75" customHeight="1" x14ac:dyDescent="0.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spans="1:32" ht="12.75" customHeight="1" x14ac:dyDescent="0.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spans="1:32" ht="12.75" customHeight="1" x14ac:dyDescent="0.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spans="1:32" ht="12.75" customHeight="1" x14ac:dyDescent="0.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spans="1:32" ht="12.75" customHeight="1" x14ac:dyDescent="0.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spans="1:32" ht="12.75" customHeight="1" x14ac:dyDescent="0.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spans="1:32" ht="12.75" customHeight="1" x14ac:dyDescent="0.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spans="1:32" ht="12.75" customHeight="1" x14ac:dyDescent="0.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spans="1:32" ht="12.75" customHeight="1" x14ac:dyDescent="0.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spans="1:32" ht="12.75" customHeight="1" x14ac:dyDescent="0.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spans="1:32" ht="12.75" customHeight="1" x14ac:dyDescent="0.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spans="1:32" ht="12.75" customHeight="1" x14ac:dyDescent="0.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spans="1:32" ht="12.75" customHeight="1" x14ac:dyDescent="0.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spans="1:32" ht="12.75" customHeight="1" x14ac:dyDescent="0.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spans="1:32" ht="12.75" customHeight="1" x14ac:dyDescent="0.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spans="1:32" ht="12.75" customHeight="1" x14ac:dyDescent="0.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spans="1:32" ht="12.75" customHeight="1" x14ac:dyDescent="0.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spans="1:32" ht="12.75" customHeight="1" x14ac:dyDescent="0.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spans="1:32" ht="12.75" customHeight="1" x14ac:dyDescent="0.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spans="1:32" ht="12.75" customHeight="1" x14ac:dyDescent="0.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spans="1:32" ht="12.75" customHeight="1" x14ac:dyDescent="0.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spans="1:32" ht="12.75" customHeight="1" x14ac:dyDescent="0.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spans="1:32" ht="12.75" customHeight="1" x14ac:dyDescent="0.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spans="1:32" ht="12.75" customHeight="1" x14ac:dyDescent="0.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spans="1:32" ht="12.75" customHeight="1" x14ac:dyDescent="0.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spans="1:32" ht="12.75" customHeight="1" x14ac:dyDescent="0.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spans="1:32" ht="12.75" customHeight="1" x14ac:dyDescent="0.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spans="1:32" ht="12.75" customHeight="1" x14ac:dyDescent="0.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spans="1:32" ht="12.75" customHeight="1" x14ac:dyDescent="0.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spans="1:32" ht="12.75" customHeight="1" x14ac:dyDescent="0.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spans="1:32" ht="12.75" customHeight="1" x14ac:dyDescent="0.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spans="1:32" ht="12.75" customHeight="1" x14ac:dyDescent="0.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spans="1:32" ht="12.75" customHeight="1" x14ac:dyDescent="0.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spans="1:32" ht="12.75" customHeight="1" x14ac:dyDescent="0.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spans="1:32" ht="12.75" customHeight="1" x14ac:dyDescent="0.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spans="1:32" ht="12.75" customHeight="1" x14ac:dyDescent="0.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spans="1:32" ht="12.75" customHeight="1" x14ac:dyDescent="0.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spans="1:32" ht="12.75" customHeight="1" x14ac:dyDescent="0.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spans="1:32" ht="12.75" customHeight="1" x14ac:dyDescent="0.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spans="1:32" ht="12.75" customHeight="1" x14ac:dyDescent="0.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spans="1:32" ht="12.75" customHeight="1" x14ac:dyDescent="0.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spans="1:32" ht="12.75" customHeight="1" x14ac:dyDescent="0.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spans="1:32" ht="12.75" customHeight="1" x14ac:dyDescent="0.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spans="1:32" ht="12.75" customHeight="1" x14ac:dyDescent="0.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spans="1:32" ht="12.75" customHeight="1" x14ac:dyDescent="0.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spans="1:32" ht="12.75" customHeight="1" x14ac:dyDescent="0.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spans="1:32" ht="12.75" customHeight="1" x14ac:dyDescent="0.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spans="1:32" ht="12.75" customHeight="1" x14ac:dyDescent="0.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spans="1:32" ht="12.75" customHeight="1" x14ac:dyDescent="0.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spans="1:32" ht="12.75" customHeight="1" x14ac:dyDescent="0.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spans="1:32" ht="12.75" customHeight="1" x14ac:dyDescent="0.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spans="1:32" ht="12.75" customHeight="1" x14ac:dyDescent="0.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spans="1:32" ht="12.75" customHeight="1" x14ac:dyDescent="0.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spans="1:32" ht="12.75" customHeight="1" x14ac:dyDescent="0.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spans="1:32" ht="12.75" customHeight="1" x14ac:dyDescent="0.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spans="1:32" ht="12.75" customHeight="1" x14ac:dyDescent="0.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spans="1:32" ht="12.75" customHeight="1" x14ac:dyDescent="0.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spans="1:32" ht="12.75" customHeight="1" x14ac:dyDescent="0.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spans="1:32" ht="12.75" customHeight="1" x14ac:dyDescent="0.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spans="1:32" ht="12.75" customHeight="1" x14ac:dyDescent="0.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spans="1:32" ht="12.75" customHeight="1" x14ac:dyDescent="0.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spans="1:32" ht="12.75" customHeight="1" x14ac:dyDescent="0.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spans="1:32" ht="12.75" customHeight="1" x14ac:dyDescent="0.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spans="1:32" ht="12.75" customHeight="1" x14ac:dyDescent="0.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spans="1:32" ht="12.75" customHeight="1" x14ac:dyDescent="0.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spans="1:32" ht="12.75" customHeight="1" x14ac:dyDescent="0.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spans="1:32" ht="12.75" customHeight="1" x14ac:dyDescent="0.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spans="1:32" ht="12.75" customHeight="1" x14ac:dyDescent="0.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spans="1:32" ht="12.75" customHeight="1" x14ac:dyDescent="0.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spans="1:32" ht="12.75" customHeight="1" x14ac:dyDescent="0.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spans="1:32" ht="12.75" customHeight="1" x14ac:dyDescent="0.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spans="1:32" ht="12.75" customHeight="1" x14ac:dyDescent="0.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spans="1:32" ht="12.75" customHeight="1" x14ac:dyDescent="0.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spans="1:32" ht="12.75" customHeight="1" x14ac:dyDescent="0.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spans="1:32" ht="12.75" customHeight="1" x14ac:dyDescent="0.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spans="1:32" ht="12.75" customHeight="1" x14ac:dyDescent="0.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spans="1:32" ht="12.75" customHeight="1" x14ac:dyDescent="0.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spans="1:32" ht="12.75" customHeight="1" x14ac:dyDescent="0.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spans="1:32" ht="12.75" customHeight="1" x14ac:dyDescent="0.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spans="1:32" ht="12.75" customHeight="1" x14ac:dyDescent="0.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spans="1:32" ht="12.75" customHeight="1" x14ac:dyDescent="0.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spans="1:32" ht="12.75" customHeight="1" x14ac:dyDescent="0.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spans="1:32" ht="12.75" customHeight="1" x14ac:dyDescent="0.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spans="1:32" ht="12.75" customHeight="1" x14ac:dyDescent="0.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spans="1:32" ht="12.75" customHeight="1" x14ac:dyDescent="0.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spans="1:32" ht="12.75" customHeight="1" x14ac:dyDescent="0.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spans="1:32" ht="12.75" customHeight="1" x14ac:dyDescent="0.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spans="1:32" ht="12.75" customHeight="1" x14ac:dyDescent="0.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spans="1:32" ht="12.75" customHeight="1" x14ac:dyDescent="0.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spans="1:32" ht="12.75" customHeight="1" x14ac:dyDescent="0.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spans="1:32" ht="12.75" customHeight="1" x14ac:dyDescent="0.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spans="1:32" ht="12.75" customHeight="1" x14ac:dyDescent="0.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spans="1:32" ht="12.75" customHeight="1" x14ac:dyDescent="0.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spans="1:32" ht="12.75" customHeight="1" x14ac:dyDescent="0.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spans="1:32" ht="12.75" customHeight="1" x14ac:dyDescent="0.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spans="1:32" ht="12.75" customHeight="1" x14ac:dyDescent="0.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spans="1:32" ht="12.75" customHeight="1" x14ac:dyDescent="0.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spans="1:32" ht="12.75" customHeight="1" x14ac:dyDescent="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spans="1:32" ht="12.75" customHeight="1" x14ac:dyDescent="0.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spans="1:32" ht="12.75" customHeight="1" x14ac:dyDescent="0.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spans="1:32" ht="12.75" customHeight="1" x14ac:dyDescent="0.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spans="1:32" ht="12.75" customHeight="1" x14ac:dyDescent="0.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spans="1:32" ht="12.75" customHeight="1" x14ac:dyDescent="0.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spans="1:32" ht="12.75" customHeight="1" x14ac:dyDescent="0.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spans="1:32" ht="12.75" customHeight="1" x14ac:dyDescent="0.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spans="1:32" ht="12.75" customHeight="1" x14ac:dyDescent="0.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spans="1:32" ht="12.75" customHeight="1" x14ac:dyDescent="0.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spans="1:32" ht="12.75" customHeight="1" x14ac:dyDescent="0.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spans="1:32" ht="12.75" customHeight="1" x14ac:dyDescent="0.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spans="1:32" ht="12.75" customHeight="1" x14ac:dyDescent="0.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spans="1:32" ht="12.75" customHeight="1" x14ac:dyDescent="0.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spans="1:32" ht="12.75" customHeight="1" x14ac:dyDescent="0.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spans="1:32" ht="12.75" customHeight="1" x14ac:dyDescent="0.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spans="1:32" ht="12.75" customHeight="1" x14ac:dyDescent="0.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spans="1:32" ht="12.75" customHeight="1" x14ac:dyDescent="0.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spans="1:32" ht="12.75" customHeight="1" x14ac:dyDescent="0.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spans="1:32" ht="12.75" customHeight="1" x14ac:dyDescent="0.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spans="1:32" ht="12.75" customHeight="1" x14ac:dyDescent="0.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spans="1:32" ht="12.75" customHeight="1" x14ac:dyDescent="0.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spans="1:32" ht="12.75" customHeight="1" x14ac:dyDescent="0.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spans="1:32" ht="12.75" customHeight="1" x14ac:dyDescent="0.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spans="1:32" ht="12.75" customHeight="1" x14ac:dyDescent="0.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spans="1:32" ht="12.75" customHeight="1" x14ac:dyDescent="0.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spans="1:32" ht="12.75" customHeight="1" x14ac:dyDescent="0.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spans="1:32" ht="12.75" customHeight="1" x14ac:dyDescent="0.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spans="1:32" ht="12.75" customHeight="1" x14ac:dyDescent="0.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spans="1:32" ht="12.75" customHeight="1" x14ac:dyDescent="0.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spans="1:32" ht="12.75" customHeight="1" x14ac:dyDescent="0.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spans="1:32" ht="12.75" customHeight="1" x14ac:dyDescent="0.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spans="1:32" ht="12.75" customHeight="1" x14ac:dyDescent="0.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spans="1:32" ht="12.75" customHeight="1" x14ac:dyDescent="0.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spans="1:32" ht="12.75" customHeight="1" x14ac:dyDescent="0.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spans="1:32" ht="12.75" customHeight="1" x14ac:dyDescent="0.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spans="1:32" ht="12.75" customHeight="1" x14ac:dyDescent="0.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spans="1:32" ht="12.75" customHeight="1" x14ac:dyDescent="0.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spans="1:32" ht="12.75" customHeight="1" x14ac:dyDescent="0.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spans="1:32" ht="12.75" customHeight="1" x14ac:dyDescent="0.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spans="1:32" ht="12.75" customHeight="1" x14ac:dyDescent="0.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spans="1:32" ht="12.75" customHeight="1" x14ac:dyDescent="0.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spans="1:32" ht="12.75" customHeight="1" x14ac:dyDescent="0.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spans="1:32" ht="12.75" customHeight="1" x14ac:dyDescent="0.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spans="1:32" ht="12.75" customHeight="1" x14ac:dyDescent="0.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spans="1:32" ht="12.75" customHeight="1" x14ac:dyDescent="0.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spans="1:32" ht="12.75" customHeight="1" x14ac:dyDescent="0.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spans="1:32" ht="12.75" customHeight="1" x14ac:dyDescent="0.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spans="1:32" ht="12.75" customHeight="1" x14ac:dyDescent="0.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spans="1:32" ht="12.75" customHeight="1" x14ac:dyDescent="0.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spans="1:32" ht="12.75" customHeight="1" x14ac:dyDescent="0.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spans="1:32" ht="12.75" customHeight="1" x14ac:dyDescent="0.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spans="1:32" ht="12.75" customHeight="1" x14ac:dyDescent="0.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spans="1:32" ht="12.75" customHeight="1" x14ac:dyDescent="0.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spans="1:32" ht="12.75" customHeight="1" x14ac:dyDescent="0.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spans="1:32" ht="12.75" customHeight="1" x14ac:dyDescent="0.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spans="1:32" ht="12.75" customHeight="1" x14ac:dyDescent="0.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spans="1:32" ht="12.75" customHeight="1" x14ac:dyDescent="0.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spans="1:32" ht="12.75" customHeight="1" x14ac:dyDescent="0.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spans="1:32" ht="12.75" customHeight="1" x14ac:dyDescent="0.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spans="1:32" ht="12.75" customHeight="1" x14ac:dyDescent="0.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spans="1:32" ht="12.75" customHeight="1" x14ac:dyDescent="0.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spans="1:32" ht="12.75" customHeight="1" x14ac:dyDescent="0.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spans="1:32" ht="12.75" customHeight="1" x14ac:dyDescent="0.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spans="1:32" ht="12.75" customHeight="1" x14ac:dyDescent="0.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spans="1:32" ht="12.75" customHeight="1" x14ac:dyDescent="0.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spans="1:32" ht="12.75" customHeight="1" x14ac:dyDescent="0.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spans="1:32" ht="12.75" customHeight="1" x14ac:dyDescent="0.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spans="1:32" ht="12.75" customHeight="1" x14ac:dyDescent="0.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spans="1:32" ht="12.75" customHeight="1" x14ac:dyDescent="0.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spans="1:32" ht="12.75" customHeight="1" x14ac:dyDescent="0.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spans="1:32" ht="12.75" customHeight="1" x14ac:dyDescent="0.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spans="1:32" ht="12.75" customHeight="1" x14ac:dyDescent="0.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spans="1:32" ht="12.75" customHeight="1" x14ac:dyDescent="0.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spans="1:32" ht="12.75" customHeight="1" x14ac:dyDescent="0.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spans="1:32" ht="12.75" customHeight="1" x14ac:dyDescent="0.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spans="1:32" ht="12.75" customHeight="1" x14ac:dyDescent="0.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spans="1:32" ht="12.75" customHeight="1" x14ac:dyDescent="0.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spans="1:32" ht="12.75" customHeight="1" x14ac:dyDescent="0.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spans="1:32" ht="12.75" customHeight="1" x14ac:dyDescent="0.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spans="1:32" ht="12.75" customHeight="1" x14ac:dyDescent="0.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spans="1:32" ht="12.75" customHeight="1" x14ac:dyDescent="0.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spans="1:32" ht="12.75" customHeight="1" x14ac:dyDescent="0.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spans="1:32" ht="12.75" customHeight="1" x14ac:dyDescent="0.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spans="1:32" ht="12.75" customHeight="1" x14ac:dyDescent="0.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spans="1:32" ht="12.75" customHeight="1" x14ac:dyDescent="0.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spans="1:32" ht="12.75" customHeight="1" x14ac:dyDescent="0.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spans="1:32" ht="12.75" customHeight="1" x14ac:dyDescent="0.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spans="1:32" ht="12.75" customHeight="1" x14ac:dyDescent="0.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spans="1:32" ht="12.75" customHeight="1" x14ac:dyDescent="0.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spans="1:32" ht="12.75" customHeight="1" x14ac:dyDescent="0.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spans="1:32" ht="12.75" customHeight="1" x14ac:dyDescent="0.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spans="1:32" ht="12.75" customHeight="1" x14ac:dyDescent="0.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spans="1:32" ht="12.75" customHeight="1" x14ac:dyDescent="0.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spans="1:32" ht="12.75" customHeight="1" x14ac:dyDescent="0.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spans="1:32" ht="12.75" customHeight="1" x14ac:dyDescent="0.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spans="1:32" ht="12.75" customHeight="1" x14ac:dyDescent="0.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spans="1:32" ht="12.75" customHeight="1" x14ac:dyDescent="0.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spans="1:32" ht="12.75" customHeight="1" x14ac:dyDescent="0.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spans="1:32" ht="12.75" customHeight="1" x14ac:dyDescent="0.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spans="1:32" ht="12.75" customHeight="1" x14ac:dyDescent="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spans="1:32" ht="12.75" customHeight="1" x14ac:dyDescent="0.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spans="1:32" ht="12.75" customHeight="1" x14ac:dyDescent="0.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spans="1:32" ht="12.75" customHeight="1" x14ac:dyDescent="0.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spans="1:32" ht="12.75" customHeight="1" x14ac:dyDescent="0.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spans="1:32" ht="12.75" customHeight="1" x14ac:dyDescent="0.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spans="1:32" ht="12.75" customHeight="1" x14ac:dyDescent="0.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spans="1:32" ht="12.75" customHeight="1" x14ac:dyDescent="0.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spans="1:32" ht="12.75" customHeight="1" x14ac:dyDescent="0.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spans="1:32" ht="12.75" customHeight="1" x14ac:dyDescent="0.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spans="1:32" ht="12.75" customHeight="1" x14ac:dyDescent="0.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spans="1:32" ht="12.75" customHeight="1" x14ac:dyDescent="0.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spans="1:32" ht="12.75" customHeight="1" x14ac:dyDescent="0.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spans="1:32" ht="12.75" customHeight="1" x14ac:dyDescent="0.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spans="1:32" ht="12.75" customHeight="1" x14ac:dyDescent="0.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spans="1:32" ht="12.75" customHeight="1" x14ac:dyDescent="0.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spans="1:32" ht="12.75" customHeight="1" x14ac:dyDescent="0.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spans="1:32" ht="12.75" customHeight="1" x14ac:dyDescent="0.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spans="1:32" ht="12.75" customHeight="1" x14ac:dyDescent="0.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spans="1:32" ht="12.75" customHeight="1" x14ac:dyDescent="0.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spans="1:32" ht="12.75" customHeight="1" x14ac:dyDescent="0.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spans="1:32" ht="12.75" customHeight="1" x14ac:dyDescent="0.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spans="1:32" ht="12.75" customHeight="1" x14ac:dyDescent="0.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spans="1:32" ht="12.75" customHeight="1" x14ac:dyDescent="0.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spans="1:32" ht="12.75" customHeight="1" x14ac:dyDescent="0.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spans="1:32" ht="12.75" customHeight="1" x14ac:dyDescent="0.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spans="1:32" ht="12.75" customHeight="1" x14ac:dyDescent="0.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spans="1:32" ht="12.75" customHeight="1" x14ac:dyDescent="0.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spans="1:32" ht="12.75" customHeight="1" x14ac:dyDescent="0.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spans="1:32" ht="12.75" customHeight="1" x14ac:dyDescent="0.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spans="1:32" ht="12.75" customHeight="1" x14ac:dyDescent="0.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spans="1:32" ht="12.75" customHeight="1" x14ac:dyDescent="0.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spans="1:32" ht="12.75" customHeight="1" x14ac:dyDescent="0.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spans="1:32" ht="12.75" customHeight="1" x14ac:dyDescent="0.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spans="1:32" ht="12.75" customHeight="1" x14ac:dyDescent="0.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spans="1:32" ht="12.75" customHeight="1" x14ac:dyDescent="0.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spans="1:32" ht="12.75" customHeight="1" x14ac:dyDescent="0.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spans="1:32" ht="12.75" customHeight="1" x14ac:dyDescent="0.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spans="1:32" ht="12.75" customHeight="1" x14ac:dyDescent="0.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spans="1:32" ht="12.75" customHeight="1" x14ac:dyDescent="0.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spans="1:32" ht="12.75" customHeight="1" x14ac:dyDescent="0.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spans="1:32" ht="12.75" customHeight="1" x14ac:dyDescent="0.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spans="1:32" ht="12.75" customHeight="1" x14ac:dyDescent="0.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spans="1:32" ht="12.75" customHeight="1" x14ac:dyDescent="0.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spans="1:32" ht="12.75" customHeight="1" x14ac:dyDescent="0.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spans="1:32" ht="12.75" customHeight="1" x14ac:dyDescent="0.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spans="1:32" ht="12.75" customHeight="1" x14ac:dyDescent="0.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spans="1:32" ht="12.75" customHeight="1" x14ac:dyDescent="0.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spans="1:32" ht="12.75" customHeight="1" x14ac:dyDescent="0.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spans="1:32" ht="12.75" customHeight="1" x14ac:dyDescent="0.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spans="1:32" ht="12.75" customHeight="1" x14ac:dyDescent="0.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spans="1:32" ht="12.75" customHeight="1" x14ac:dyDescent="0.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spans="1:32" ht="12.75" customHeight="1" x14ac:dyDescent="0.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spans="1:32" ht="12.75" customHeight="1" x14ac:dyDescent="0.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spans="1:32" ht="12.75" customHeight="1" x14ac:dyDescent="0.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spans="1:32" ht="12.75" customHeight="1" x14ac:dyDescent="0.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spans="1:32" ht="12.75" customHeight="1" x14ac:dyDescent="0.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spans="1:32" ht="12.75" customHeight="1" x14ac:dyDescent="0.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spans="1:32" ht="12.75" customHeight="1" x14ac:dyDescent="0.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spans="1:32" ht="12.75" customHeight="1" x14ac:dyDescent="0.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spans="1:32" ht="12.75" customHeight="1" x14ac:dyDescent="0.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spans="1:32" ht="12.75" customHeight="1" x14ac:dyDescent="0.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spans="1:32" ht="12.75" customHeight="1" x14ac:dyDescent="0.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spans="1:32" ht="12.75" customHeight="1" x14ac:dyDescent="0.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spans="1:32" ht="12.75" customHeight="1" x14ac:dyDescent="0.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spans="1:32" ht="12.75" customHeight="1" x14ac:dyDescent="0.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spans="1:32" ht="12.75" customHeight="1" x14ac:dyDescent="0.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spans="1:32" ht="12.75" customHeight="1" x14ac:dyDescent="0.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spans="1:32" ht="12.75" customHeight="1" x14ac:dyDescent="0.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spans="1:32" ht="12.75" customHeight="1" x14ac:dyDescent="0.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spans="1:32" ht="12.75" customHeight="1" x14ac:dyDescent="0.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spans="1:32" ht="12.75" customHeight="1" x14ac:dyDescent="0.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spans="1:32" ht="12.75" customHeight="1" x14ac:dyDescent="0.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spans="1:32" ht="12.75" customHeight="1" x14ac:dyDescent="0.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spans="1:32" ht="12.75" customHeight="1" x14ac:dyDescent="0.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spans="1:32" ht="12.75" customHeight="1" x14ac:dyDescent="0.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spans="1:32" ht="12.75" customHeight="1" x14ac:dyDescent="0.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spans="1:32" ht="12.75" customHeight="1" x14ac:dyDescent="0.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spans="1:32" ht="12.75" customHeight="1" x14ac:dyDescent="0.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spans="1:32" ht="12.75" customHeight="1" x14ac:dyDescent="0.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spans="1:32" ht="12.75" customHeight="1" x14ac:dyDescent="0.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spans="1:32" ht="12.75" customHeight="1" x14ac:dyDescent="0.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spans="1:32" ht="12.75" customHeight="1" x14ac:dyDescent="0.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spans="1:32" ht="12.75" customHeight="1" x14ac:dyDescent="0.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spans="1:32" ht="12.75" customHeight="1" x14ac:dyDescent="0.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spans="1:32" ht="12.75" customHeight="1" x14ac:dyDescent="0.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spans="1:32" ht="12.75" customHeight="1" x14ac:dyDescent="0.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spans="1:32" ht="12.75" customHeight="1" x14ac:dyDescent="0.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spans="1:32" ht="12.75" customHeight="1" x14ac:dyDescent="0.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spans="1:32" ht="12.75" customHeight="1" x14ac:dyDescent="0.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spans="1:32" ht="12.75" customHeight="1" x14ac:dyDescent="0.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spans="1:32" ht="12.75" customHeight="1" x14ac:dyDescent="0.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spans="1:32" ht="12.75" customHeight="1" x14ac:dyDescent="0.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spans="1:32" ht="12.75" customHeight="1" x14ac:dyDescent="0.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spans="1:32" ht="12.75" customHeight="1" x14ac:dyDescent="0.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spans="1:32" ht="12.75" customHeight="1" x14ac:dyDescent="0.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sheetData>
  <mergeCells count="17">
    <mergeCell ref="O6:P6"/>
    <mergeCell ref="Q6:Q7"/>
    <mergeCell ref="I6:I7"/>
    <mergeCell ref="J6:J7"/>
    <mergeCell ref="K6:K7"/>
    <mergeCell ref="L6:L7"/>
    <mergeCell ref="M6:M7"/>
    <mergeCell ref="F6:F7"/>
    <mergeCell ref="G6:G7"/>
    <mergeCell ref="H6:H7"/>
    <mergeCell ref="A17:G17"/>
    <mergeCell ref="A20:D20"/>
    <mergeCell ref="A6:A7"/>
    <mergeCell ref="B6:B7"/>
    <mergeCell ref="C6:C7"/>
    <mergeCell ref="D6:D7"/>
    <mergeCell ref="E6:E7"/>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98"/>
  <sheetViews>
    <sheetView showGridLines="0" workbookViewId="0">
      <pane ySplit="8" topLeftCell="A9" activePane="bottomLeft" state="frozen"/>
      <selection pane="bottomLeft" activeCell="F33" sqref="F33"/>
    </sheetView>
    <sheetView workbookViewId="1"/>
  </sheetViews>
  <sheetFormatPr defaultColWidth="0" defaultRowHeight="15" customHeight="1" x14ac:dyDescent="0.2"/>
  <cols>
    <col min="1" max="1" width="35.7109375" customWidth="1"/>
    <col min="2" max="2" width="50.140625" customWidth="1"/>
    <col min="3" max="3" width="9.28515625" customWidth="1"/>
    <col min="4" max="4" width="9.7109375" customWidth="1"/>
    <col min="5" max="5" width="12.42578125" customWidth="1"/>
    <col min="6" max="6" width="30" customWidth="1"/>
    <col min="7" max="7" width="16.85546875" customWidth="1"/>
    <col min="8" max="8" width="14" customWidth="1"/>
    <col min="9" max="10" width="14.28515625" customWidth="1"/>
    <col min="11" max="18" width="14.28515625" hidden="1" customWidth="1"/>
    <col min="19" max="28" width="10" hidden="1" customWidth="1"/>
    <col min="29" max="16384" width="12.42578125" hidden="1"/>
  </cols>
  <sheetData>
    <row r="1" spans="1:27" ht="15" customHeight="1" x14ac:dyDescent="0.2">
      <c r="A1" s="196" t="str">
        <f>'RESUMEN GENERAL'!A3</f>
        <v xml:space="preserve">Título del proyecto:   </v>
      </c>
      <c r="B1" s="158" t="str" cm="1">
        <f t="array" ref="B1:J1">'RESUMEN GENERAL'!B3:J3</f>
        <v xml:space="preserve">Funciones evolutivas del habla dirigida a bebés: Impacto en la atención, las preferencias auditivas y el desarrollo lingüístico y musical temprano </v>
      </c>
      <c r="C1" s="159">
        <v>0</v>
      </c>
      <c r="D1" s="159">
        <v>0</v>
      </c>
      <c r="E1" s="159">
        <v>0</v>
      </c>
      <c r="F1" s="159">
        <v>0</v>
      </c>
      <c r="G1" s="159">
        <v>0</v>
      </c>
      <c r="H1" s="159">
        <v>0</v>
      </c>
      <c r="I1" s="159">
        <v>0</v>
      </c>
      <c r="J1" s="159">
        <v>0</v>
      </c>
    </row>
    <row r="2" spans="1:27" ht="15" customHeight="1" x14ac:dyDescent="0.2">
      <c r="A2" s="196" t="str">
        <f>'RESUMEN GENERAL'!A4</f>
        <v xml:space="preserve">Investigador Principal: </v>
      </c>
      <c r="B2" s="158" t="str" cm="1">
        <f t="array" ref="B2:J2">'RESUMEN GENERAL'!B4:J4</f>
        <v>Juan David Leongómez Peña</v>
      </c>
      <c r="C2" s="159">
        <v>0</v>
      </c>
      <c r="D2" s="159">
        <v>0</v>
      </c>
      <c r="E2" s="159">
        <v>0</v>
      </c>
      <c r="F2" s="159">
        <v>0</v>
      </c>
      <c r="G2" s="159">
        <v>0</v>
      </c>
      <c r="H2" s="159">
        <v>0</v>
      </c>
      <c r="I2" s="159">
        <v>0</v>
      </c>
      <c r="J2" s="159">
        <v>0</v>
      </c>
    </row>
    <row r="4" spans="1:27" ht="15" customHeight="1" x14ac:dyDescent="0.2">
      <c r="A4" s="52" t="s">
        <v>137</v>
      </c>
      <c r="B4" s="63"/>
      <c r="C4" s="63"/>
      <c r="D4" s="63"/>
      <c r="E4" s="63"/>
      <c r="F4" s="63"/>
      <c r="G4" s="63"/>
      <c r="H4" s="63"/>
      <c r="I4" s="63"/>
    </row>
    <row r="5" spans="1:27" ht="15" customHeight="1" x14ac:dyDescent="0.2">
      <c r="A5" s="301" t="s">
        <v>141</v>
      </c>
      <c r="B5" s="301"/>
      <c r="C5" s="301"/>
      <c r="D5" s="301"/>
      <c r="E5" s="301"/>
      <c r="F5" s="301"/>
      <c r="G5" s="301"/>
      <c r="H5" s="301"/>
      <c r="I5" s="301"/>
    </row>
    <row r="6" spans="1:27" ht="15" customHeight="1" x14ac:dyDescent="0.2">
      <c r="A6" s="302"/>
      <c r="B6" s="302"/>
      <c r="C6" s="302"/>
      <c r="D6" s="302"/>
      <c r="E6" s="302"/>
      <c r="F6" s="302"/>
      <c r="G6" s="302"/>
      <c r="H6" s="302"/>
      <c r="I6" s="302"/>
    </row>
    <row r="7" spans="1:27" ht="26.25" customHeight="1" x14ac:dyDescent="0.2">
      <c r="A7" s="269" t="s">
        <v>123</v>
      </c>
      <c r="B7" s="269" t="s">
        <v>91</v>
      </c>
      <c r="C7" s="269" t="s">
        <v>92</v>
      </c>
      <c r="D7" s="269" t="s">
        <v>93</v>
      </c>
      <c r="E7" s="269" t="s">
        <v>54</v>
      </c>
      <c r="F7" s="25" t="s">
        <v>32</v>
      </c>
      <c r="G7" s="271" t="s">
        <v>69</v>
      </c>
      <c r="H7" s="272"/>
      <c r="I7" s="273" t="s">
        <v>36</v>
      </c>
    </row>
    <row r="8" spans="1:27" ht="44.25" customHeight="1" x14ac:dyDescent="0.2">
      <c r="A8" s="270"/>
      <c r="B8" s="270"/>
      <c r="C8" s="270"/>
      <c r="D8" s="270"/>
      <c r="E8" s="270"/>
      <c r="F8" s="49" t="s">
        <v>94</v>
      </c>
      <c r="G8" s="1" t="s">
        <v>41</v>
      </c>
      <c r="H8" s="1" t="s">
        <v>125</v>
      </c>
      <c r="I8" s="274"/>
      <c r="J8" s="51"/>
      <c r="K8" s="63"/>
      <c r="L8" s="63"/>
      <c r="M8" s="63"/>
      <c r="N8" s="63"/>
      <c r="O8" s="63"/>
      <c r="P8" s="63"/>
      <c r="Q8" s="63"/>
      <c r="R8" s="63"/>
      <c r="S8" s="63"/>
      <c r="T8" s="63"/>
      <c r="U8" s="63"/>
      <c r="V8" s="63"/>
      <c r="W8" s="63"/>
      <c r="X8" s="63"/>
      <c r="Y8" s="63"/>
      <c r="Z8" s="63"/>
      <c r="AA8" s="63"/>
    </row>
    <row r="9" spans="1:27" ht="12.75" customHeight="1" x14ac:dyDescent="0.2">
      <c r="A9" s="10"/>
      <c r="B9" s="9"/>
      <c r="C9" s="9"/>
      <c r="D9" s="16"/>
      <c r="E9" s="35">
        <f t="shared" ref="E9:E17" si="0">+D9*C9</f>
        <v>0</v>
      </c>
      <c r="F9" s="15"/>
      <c r="G9" s="15"/>
      <c r="H9" s="15"/>
      <c r="I9" s="35">
        <f t="shared" ref="I9:I17" si="1">SUM(F9:H9)</f>
        <v>0</v>
      </c>
      <c r="J9" s="78"/>
      <c r="K9" s="78"/>
      <c r="L9" s="78"/>
      <c r="M9" s="78"/>
      <c r="N9" s="78"/>
      <c r="O9" s="78"/>
      <c r="P9" s="78"/>
      <c r="Q9" s="78"/>
      <c r="R9" s="78"/>
      <c r="S9" s="78"/>
      <c r="T9" s="78"/>
      <c r="U9" s="78"/>
      <c r="V9" s="78"/>
      <c r="W9" s="78"/>
      <c r="X9" s="78"/>
      <c r="Y9" s="78"/>
      <c r="Z9" s="78"/>
      <c r="AA9" s="78"/>
    </row>
    <row r="10" spans="1:27" ht="12.75" customHeight="1" x14ac:dyDescent="0.2">
      <c r="A10" s="10"/>
      <c r="B10" s="9"/>
      <c r="C10" s="9"/>
      <c r="D10" s="16"/>
      <c r="E10" s="35">
        <f t="shared" si="0"/>
        <v>0</v>
      </c>
      <c r="F10" s="15"/>
      <c r="G10" s="15"/>
      <c r="H10" s="15"/>
      <c r="I10" s="35">
        <f t="shared" si="1"/>
        <v>0</v>
      </c>
      <c r="J10" s="78"/>
      <c r="K10" s="78"/>
      <c r="L10" s="78"/>
      <c r="M10" s="78"/>
      <c r="N10" s="78"/>
      <c r="O10" s="78"/>
      <c r="P10" s="78"/>
      <c r="Q10" s="78"/>
      <c r="R10" s="78"/>
      <c r="S10" s="78"/>
      <c r="T10" s="78"/>
      <c r="U10" s="78"/>
      <c r="V10" s="78"/>
      <c r="W10" s="78"/>
      <c r="X10" s="78"/>
      <c r="Y10" s="78"/>
      <c r="Z10" s="78"/>
      <c r="AA10" s="78"/>
    </row>
    <row r="11" spans="1:27" ht="12.75" customHeight="1" x14ac:dyDescent="0.2">
      <c r="A11" s="10"/>
      <c r="B11" s="9"/>
      <c r="C11" s="9"/>
      <c r="D11" s="16"/>
      <c r="E11" s="35">
        <f t="shared" si="0"/>
        <v>0</v>
      </c>
      <c r="F11" s="15"/>
      <c r="G11" s="15"/>
      <c r="H11" s="15"/>
      <c r="I11" s="35">
        <f t="shared" si="1"/>
        <v>0</v>
      </c>
      <c r="J11" s="78"/>
      <c r="K11" s="78"/>
      <c r="L11" s="78"/>
      <c r="M11" s="78"/>
      <c r="N11" s="78"/>
      <c r="O11" s="78"/>
      <c r="P11" s="78"/>
      <c r="Q11" s="78"/>
      <c r="R11" s="78"/>
      <c r="S11" s="78"/>
      <c r="T11" s="78"/>
      <c r="U11" s="78"/>
      <c r="V11" s="78"/>
      <c r="W11" s="78"/>
      <c r="X11" s="78"/>
      <c r="Y11" s="78"/>
      <c r="Z11" s="78"/>
      <c r="AA11" s="78"/>
    </row>
    <row r="12" spans="1:27" ht="12.75" customHeight="1" x14ac:dyDescent="0.2">
      <c r="A12" s="10"/>
      <c r="B12" s="9"/>
      <c r="C12" s="9"/>
      <c r="D12" s="9"/>
      <c r="E12" s="35">
        <f t="shared" si="0"/>
        <v>0</v>
      </c>
      <c r="F12" s="15"/>
      <c r="G12" s="15"/>
      <c r="H12" s="15"/>
      <c r="I12" s="35">
        <f t="shared" si="1"/>
        <v>0</v>
      </c>
      <c r="J12" s="78"/>
      <c r="K12" s="78"/>
      <c r="L12" s="78"/>
      <c r="M12" s="78"/>
      <c r="N12" s="78"/>
      <c r="O12" s="78"/>
      <c r="P12" s="78"/>
      <c r="Q12" s="78"/>
      <c r="R12" s="78"/>
      <c r="S12" s="78"/>
      <c r="T12" s="78"/>
      <c r="U12" s="78"/>
      <c r="V12" s="78"/>
      <c r="W12" s="78"/>
      <c r="X12" s="78"/>
      <c r="Y12" s="78"/>
      <c r="Z12" s="78"/>
      <c r="AA12" s="78"/>
    </row>
    <row r="13" spans="1:27" ht="12.75" customHeight="1" x14ac:dyDescent="0.2">
      <c r="A13" s="10"/>
      <c r="B13" s="9"/>
      <c r="C13" s="9"/>
      <c r="D13" s="9"/>
      <c r="E13" s="35">
        <f t="shared" si="0"/>
        <v>0</v>
      </c>
      <c r="F13" s="15"/>
      <c r="G13" s="15"/>
      <c r="H13" s="15"/>
      <c r="I13" s="35">
        <f t="shared" si="1"/>
        <v>0</v>
      </c>
      <c r="J13" s="78"/>
      <c r="K13" s="78"/>
      <c r="L13" s="78"/>
      <c r="M13" s="78"/>
      <c r="N13" s="78"/>
      <c r="O13" s="78"/>
      <c r="P13" s="78"/>
      <c r="Q13" s="78"/>
      <c r="R13" s="78"/>
      <c r="S13" s="78"/>
      <c r="T13" s="78"/>
      <c r="U13" s="78"/>
      <c r="V13" s="78"/>
      <c r="W13" s="78"/>
      <c r="X13" s="78"/>
      <c r="Y13" s="78"/>
      <c r="Z13" s="78"/>
      <c r="AA13" s="78"/>
    </row>
    <row r="14" spans="1:27" ht="12.75" customHeight="1" x14ac:dyDescent="0.2">
      <c r="A14" s="10"/>
      <c r="B14" s="9"/>
      <c r="C14" s="9"/>
      <c r="D14" s="9"/>
      <c r="E14" s="35">
        <f t="shared" si="0"/>
        <v>0</v>
      </c>
      <c r="F14" s="15"/>
      <c r="G14" s="15"/>
      <c r="H14" s="15"/>
      <c r="I14" s="35">
        <f t="shared" si="1"/>
        <v>0</v>
      </c>
      <c r="J14" s="78"/>
      <c r="K14" s="78"/>
      <c r="L14" s="78"/>
      <c r="M14" s="78"/>
      <c r="N14" s="78"/>
      <c r="O14" s="78"/>
      <c r="P14" s="78"/>
      <c r="Q14" s="78"/>
      <c r="R14" s="78"/>
      <c r="S14" s="78"/>
      <c r="T14" s="78"/>
      <c r="U14" s="78"/>
      <c r="V14" s="78"/>
      <c r="W14" s="78"/>
      <c r="X14" s="78"/>
      <c r="Y14" s="78"/>
      <c r="Z14" s="78"/>
      <c r="AA14" s="78"/>
    </row>
    <row r="15" spans="1:27" ht="12.75" customHeight="1" x14ac:dyDescent="0.2">
      <c r="A15" s="10"/>
      <c r="B15" s="9"/>
      <c r="C15" s="9"/>
      <c r="D15" s="9"/>
      <c r="E15" s="35">
        <f t="shared" si="0"/>
        <v>0</v>
      </c>
      <c r="F15" s="15"/>
      <c r="G15" s="15"/>
      <c r="H15" s="15"/>
      <c r="I15" s="35">
        <f t="shared" si="1"/>
        <v>0</v>
      </c>
      <c r="J15" s="78"/>
      <c r="K15" s="78"/>
      <c r="L15" s="78"/>
      <c r="M15" s="78"/>
      <c r="N15" s="78"/>
      <c r="O15" s="78"/>
      <c r="P15" s="78"/>
      <c r="Q15" s="78"/>
      <c r="R15" s="78"/>
      <c r="S15" s="78"/>
      <c r="T15" s="78"/>
      <c r="U15" s="78"/>
      <c r="V15" s="78"/>
      <c r="W15" s="78"/>
      <c r="X15" s="78"/>
      <c r="Y15" s="78"/>
      <c r="Z15" s="78"/>
      <c r="AA15" s="78"/>
    </row>
    <row r="16" spans="1:27" ht="12.75" customHeight="1" x14ac:dyDescent="0.2">
      <c r="A16" s="36"/>
      <c r="B16" s="37"/>
      <c r="C16" s="37"/>
      <c r="D16" s="37"/>
      <c r="E16" s="35">
        <f t="shared" si="0"/>
        <v>0</v>
      </c>
      <c r="F16" s="38"/>
      <c r="G16" s="38"/>
      <c r="H16" s="38"/>
      <c r="I16" s="35">
        <f t="shared" si="1"/>
        <v>0</v>
      </c>
      <c r="J16" s="51"/>
      <c r="K16" s="51"/>
      <c r="L16" s="51"/>
      <c r="M16" s="51"/>
      <c r="N16" s="51"/>
      <c r="O16" s="51"/>
      <c r="P16" s="51"/>
      <c r="Q16" s="51"/>
      <c r="R16" s="51"/>
      <c r="S16" s="51"/>
      <c r="T16" s="51"/>
      <c r="U16" s="51"/>
      <c r="V16" s="51"/>
      <c r="W16" s="51"/>
      <c r="X16" s="51"/>
      <c r="Y16" s="51"/>
      <c r="Z16" s="51"/>
      <c r="AA16" s="51"/>
    </row>
    <row r="17" spans="1:27" ht="12.75" customHeight="1" x14ac:dyDescent="0.2">
      <c r="A17" s="10"/>
      <c r="B17" s="9"/>
      <c r="C17" s="9"/>
      <c r="D17" s="9"/>
      <c r="E17" s="35">
        <f t="shared" si="0"/>
        <v>0</v>
      </c>
      <c r="F17" s="15"/>
      <c r="G17" s="15"/>
      <c r="H17" s="15"/>
      <c r="I17" s="35">
        <f t="shared" si="1"/>
        <v>0</v>
      </c>
      <c r="J17" s="51"/>
      <c r="K17" s="51"/>
      <c r="L17" s="51"/>
      <c r="M17" s="51"/>
      <c r="N17" s="51"/>
      <c r="O17" s="51"/>
      <c r="P17" s="51"/>
      <c r="Q17" s="51"/>
      <c r="R17" s="51"/>
      <c r="S17" s="51"/>
      <c r="T17" s="51"/>
      <c r="U17" s="51"/>
      <c r="V17" s="51"/>
      <c r="W17" s="51"/>
      <c r="X17" s="51"/>
      <c r="Y17" s="51"/>
      <c r="Z17" s="51"/>
      <c r="AA17" s="51"/>
    </row>
    <row r="18" spans="1:27" ht="12.75" customHeight="1" x14ac:dyDescent="0.2">
      <c r="A18" s="288" t="s">
        <v>112</v>
      </c>
      <c r="B18" s="289"/>
      <c r="C18" s="289"/>
      <c r="D18" s="290"/>
      <c r="E18" s="208">
        <f t="shared" ref="E18:I18" si="2">SUM(E9:E17)</f>
        <v>0</v>
      </c>
      <c r="F18" s="208">
        <f t="shared" si="2"/>
        <v>0</v>
      </c>
      <c r="G18" s="208">
        <f t="shared" si="2"/>
        <v>0</v>
      </c>
      <c r="H18" s="208">
        <f t="shared" si="2"/>
        <v>0</v>
      </c>
      <c r="I18" s="208">
        <f t="shared" si="2"/>
        <v>0</v>
      </c>
      <c r="J18" s="52"/>
      <c r="K18" s="52"/>
      <c r="L18" s="52"/>
      <c r="M18" s="52"/>
      <c r="N18" s="52"/>
      <c r="O18" s="52"/>
      <c r="P18" s="52"/>
      <c r="Q18" s="52"/>
      <c r="R18" s="52"/>
      <c r="S18" s="52"/>
      <c r="T18" s="52"/>
      <c r="U18" s="52"/>
      <c r="V18" s="52"/>
      <c r="W18" s="52"/>
      <c r="X18" s="52"/>
      <c r="Y18" s="52"/>
      <c r="Z18" s="52"/>
      <c r="AA18" s="52"/>
    </row>
    <row r="19" spans="1:27" ht="12.75" customHeight="1" x14ac:dyDescent="0.2">
      <c r="A19" s="51"/>
      <c r="B19" s="51" t="s">
        <v>127</v>
      </c>
      <c r="C19" s="51"/>
      <c r="D19" s="51"/>
      <c r="E19" s="51"/>
      <c r="F19" s="51"/>
      <c r="G19" s="51"/>
      <c r="H19" s="51"/>
      <c r="I19" s="51"/>
      <c r="J19" s="51"/>
      <c r="K19" s="51"/>
      <c r="L19" s="51"/>
      <c r="M19" s="51"/>
      <c r="N19" s="51"/>
      <c r="O19" s="51"/>
      <c r="P19" s="51"/>
      <c r="Q19" s="51"/>
      <c r="R19" s="51"/>
      <c r="S19" s="51"/>
      <c r="T19" s="51"/>
      <c r="U19" s="51"/>
      <c r="V19" s="51"/>
      <c r="W19" s="51"/>
      <c r="X19" s="51"/>
      <c r="Y19" s="51"/>
      <c r="Z19" s="51"/>
      <c r="AA19" s="51"/>
    </row>
    <row r="20" spans="1:27" ht="12.75" customHeight="1" x14ac:dyDescent="0.2">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row>
    <row r="21" spans="1:27" ht="12.75" customHeight="1" x14ac:dyDescent="0.2">
      <c r="A21" s="63"/>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row>
    <row r="22" spans="1:27" ht="12.75" customHeight="1" x14ac:dyDescent="0.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row>
    <row r="23" spans="1:27" ht="12.75" customHeight="1" x14ac:dyDescent="0.2">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row>
    <row r="24" spans="1:27" ht="12.75" customHeight="1" x14ac:dyDescent="0.2">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row>
    <row r="25" spans="1:27" ht="12.75" customHeight="1" x14ac:dyDescent="0.2">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row>
    <row r="26" spans="1:27" ht="12.75" customHeight="1" x14ac:dyDescent="0.2">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row>
    <row r="27" spans="1:27" ht="12.75" customHeight="1" x14ac:dyDescent="0.2">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row>
    <row r="28" spans="1:27" ht="12.75" customHeight="1" x14ac:dyDescent="0.2">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row>
    <row r="29" spans="1:27" ht="12.75" customHeight="1" x14ac:dyDescent="0.2">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row>
    <row r="30" spans="1:27" ht="12.75" customHeight="1" x14ac:dyDescent="0.2">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row>
    <row r="31" spans="1:27" ht="12.75" customHeight="1" x14ac:dyDescent="0.2">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row>
    <row r="32" spans="1:27" ht="12.75" customHeight="1" x14ac:dyDescent="0.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row>
    <row r="33" spans="1:27" ht="12.75" customHeight="1" x14ac:dyDescent="0.2">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row>
    <row r="34" spans="1:27" ht="12.75" customHeight="1" x14ac:dyDescent="0.2">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row>
    <row r="35" spans="1:27" ht="12.75" customHeight="1" x14ac:dyDescent="0.2">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row>
    <row r="36" spans="1:27" ht="12.75" customHeight="1" x14ac:dyDescent="0.2">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row>
    <row r="37" spans="1:27" ht="12.75" customHeight="1" x14ac:dyDescent="0.2">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row>
    <row r="38" spans="1:27" ht="12.75" customHeight="1" x14ac:dyDescent="0.2">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row>
    <row r="39" spans="1:27" ht="12.75" customHeight="1" x14ac:dyDescent="0.2">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row>
    <row r="40" spans="1:27" ht="12.75" customHeight="1" x14ac:dyDescent="0.2">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row>
    <row r="41" spans="1:27" ht="12.75" customHeight="1" x14ac:dyDescent="0.2">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row>
    <row r="42" spans="1:27" ht="12.75" customHeight="1" x14ac:dyDescent="0.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row>
    <row r="43" spans="1:27" ht="12.75" customHeight="1" x14ac:dyDescent="0.2">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row>
    <row r="44" spans="1:27" ht="12.75" customHeight="1" x14ac:dyDescent="0.2">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row>
    <row r="45" spans="1:27" ht="12.75" customHeight="1" x14ac:dyDescent="0.2">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row>
    <row r="46" spans="1:27" ht="12.75" customHeight="1" x14ac:dyDescent="0.2">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row>
    <row r="47" spans="1:27" ht="12.75" customHeight="1" x14ac:dyDescent="0.2">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row>
    <row r="48" spans="1:27" ht="12.75" customHeight="1" x14ac:dyDescent="0.2">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row>
    <row r="49" spans="1:27" ht="12.75" customHeight="1" x14ac:dyDescent="0.2">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row>
    <row r="50" spans="1:27" ht="12.75" customHeight="1" x14ac:dyDescent="0.2">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row>
    <row r="51" spans="1:27" ht="12.75" customHeight="1" x14ac:dyDescent="0.2">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row>
    <row r="52" spans="1:27" ht="12.75" customHeight="1" x14ac:dyDescent="0.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row>
    <row r="53" spans="1:27" ht="12.75" customHeight="1" x14ac:dyDescent="0.2">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row>
    <row r="54" spans="1:27" ht="12.75" customHeight="1" x14ac:dyDescent="0.2">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row>
    <row r="55" spans="1:27" ht="12.75" customHeight="1" x14ac:dyDescent="0.2">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row>
    <row r="56" spans="1:27" ht="12.75" customHeight="1" x14ac:dyDescent="0.2">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row>
    <row r="57" spans="1:27" ht="12.75" customHeight="1" x14ac:dyDescent="0.2">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row>
    <row r="58" spans="1:27" ht="12.75" customHeight="1" x14ac:dyDescent="0.2">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row>
    <row r="59" spans="1:27" ht="12.75" customHeight="1" x14ac:dyDescent="0.2">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row>
    <row r="60" spans="1:27" ht="12.75" customHeight="1" x14ac:dyDescent="0.2">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row>
    <row r="61" spans="1:27" ht="12.75" customHeight="1" x14ac:dyDescent="0.2">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row>
    <row r="62" spans="1:27" ht="12.75" customHeight="1" x14ac:dyDescent="0.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row>
    <row r="63" spans="1:27" ht="12.75" customHeight="1" x14ac:dyDescent="0.2">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row>
    <row r="64" spans="1:27" ht="12.75" customHeight="1" x14ac:dyDescent="0.2">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row>
    <row r="65" spans="1:27" ht="12.75" customHeight="1" x14ac:dyDescent="0.2">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row>
    <row r="66" spans="1:27" ht="12.75" customHeight="1" x14ac:dyDescent="0.2">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row>
    <row r="67" spans="1:27" ht="12.75" customHeight="1" x14ac:dyDescent="0.2">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row>
    <row r="68" spans="1:27" ht="12.75" customHeight="1" x14ac:dyDescent="0.2">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row>
    <row r="69" spans="1:27" ht="12.75" customHeight="1" x14ac:dyDescent="0.2">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row>
    <row r="70" spans="1:27" ht="12.75" customHeight="1" x14ac:dyDescent="0.2">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row>
    <row r="71" spans="1:27" ht="12.75" customHeight="1" x14ac:dyDescent="0.2">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row>
    <row r="72" spans="1:27" ht="12.75" customHeight="1" x14ac:dyDescent="0.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row>
    <row r="73" spans="1:27" ht="12.75" customHeight="1" x14ac:dyDescent="0.2">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row>
    <row r="74" spans="1:27" ht="12.75" customHeight="1" x14ac:dyDescent="0.2">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row>
    <row r="75" spans="1:27" ht="12.75" customHeight="1" x14ac:dyDescent="0.2">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row>
    <row r="76" spans="1:27" ht="12.75" customHeight="1" x14ac:dyDescent="0.2">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row>
    <row r="77" spans="1:27" ht="12.75" customHeight="1" x14ac:dyDescent="0.2">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row>
    <row r="78" spans="1:27" ht="12.75" customHeight="1" x14ac:dyDescent="0.2">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row>
    <row r="79" spans="1:27" ht="12.75" customHeight="1" x14ac:dyDescent="0.2">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row>
    <row r="80" spans="1:27" ht="12.75" customHeight="1" x14ac:dyDescent="0.2">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row>
    <row r="81" spans="1:27" ht="12.75" customHeight="1" x14ac:dyDescent="0.2">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row>
    <row r="82" spans="1:27" ht="12.75" customHeight="1" x14ac:dyDescent="0.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row>
    <row r="83" spans="1:27" ht="12.75" customHeight="1" x14ac:dyDescent="0.2">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row>
    <row r="84" spans="1:27" ht="12.75" customHeight="1" x14ac:dyDescent="0.2">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row>
    <row r="85" spans="1:27" ht="12.75" customHeight="1" x14ac:dyDescent="0.2">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row>
    <row r="86" spans="1:27" ht="12.75" customHeight="1" x14ac:dyDescent="0.2">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row>
    <row r="87" spans="1:27" ht="12.75" customHeight="1" x14ac:dyDescent="0.2">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row>
    <row r="88" spans="1:27" ht="12.75" customHeight="1" x14ac:dyDescent="0.2">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row>
    <row r="89" spans="1:27" ht="12.75" customHeight="1" x14ac:dyDescent="0.2">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row>
    <row r="90" spans="1:27" ht="12.75" customHeight="1" x14ac:dyDescent="0.2">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row>
    <row r="91" spans="1:27" ht="12.75" customHeight="1" x14ac:dyDescent="0.2">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row>
    <row r="92" spans="1:27" ht="12.75" customHeight="1" x14ac:dyDescent="0.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row>
    <row r="93" spans="1:27" ht="12.75" customHeight="1" x14ac:dyDescent="0.2">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row>
    <row r="94" spans="1:27" ht="12.75" customHeight="1" x14ac:dyDescent="0.2">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row>
    <row r="95" spans="1:27" ht="12.75" customHeight="1" x14ac:dyDescent="0.2">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row>
    <row r="96" spans="1:27" ht="12.75" customHeight="1" x14ac:dyDescent="0.2">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row>
    <row r="97" spans="1:27" ht="12.75" customHeight="1" x14ac:dyDescent="0.2">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row>
    <row r="98" spans="1:27" ht="12.75" customHeight="1" x14ac:dyDescent="0.2">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row>
    <row r="99" spans="1:27" ht="12.75" customHeight="1" x14ac:dyDescent="0.2">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row>
    <row r="100" spans="1:27" ht="12.75" customHeight="1" x14ac:dyDescent="0.2">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row>
    <row r="101" spans="1:27" ht="12.75" customHeight="1" x14ac:dyDescent="0.2">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row>
    <row r="102" spans="1:27" ht="12.75" customHeight="1" x14ac:dyDescent="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row>
    <row r="103" spans="1:27" ht="12.75" customHeight="1" x14ac:dyDescent="0.2">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row>
    <row r="104" spans="1:27" ht="12.75" customHeight="1" x14ac:dyDescent="0.2">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row>
    <row r="105" spans="1:27" ht="12.75" customHeight="1" x14ac:dyDescent="0.2">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row>
    <row r="106" spans="1:27" ht="12.75" customHeight="1" x14ac:dyDescent="0.2">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row>
    <row r="107" spans="1:27" ht="12.75" customHeight="1" x14ac:dyDescent="0.2">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row>
    <row r="108" spans="1:27" ht="12.75" customHeight="1" x14ac:dyDescent="0.2">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row>
    <row r="109" spans="1:27" ht="12.75" customHeight="1" x14ac:dyDescent="0.2">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row>
    <row r="110" spans="1:27" ht="12.75" customHeight="1" x14ac:dyDescent="0.2">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row>
    <row r="111" spans="1:27" ht="12.75" customHeight="1" x14ac:dyDescent="0.2">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row>
    <row r="112" spans="1:27" ht="12.75" customHeight="1" x14ac:dyDescent="0.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spans="1:27" ht="12.75" customHeight="1" x14ac:dyDescent="0.2">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spans="1:27" ht="12.75" customHeight="1" x14ac:dyDescent="0.2">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spans="1:27" ht="12.75" customHeight="1" x14ac:dyDescent="0.2">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row>
    <row r="116" spans="1:27" ht="12.75" customHeight="1" x14ac:dyDescent="0.2">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spans="1:27" ht="12.75" customHeight="1" x14ac:dyDescent="0.2">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spans="1:27" ht="12.75" customHeight="1" x14ac:dyDescent="0.2">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spans="1:27" ht="12.75" customHeight="1" x14ac:dyDescent="0.2">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spans="1:27" ht="12.75" customHeight="1" x14ac:dyDescent="0.2">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spans="1:27" ht="12.75" customHeight="1" x14ac:dyDescent="0.2">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spans="1:27" ht="12.75" customHeight="1" x14ac:dyDescent="0.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spans="1:27" ht="12.75" customHeight="1" x14ac:dyDescent="0.2">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spans="1:27" ht="12.75" customHeight="1" x14ac:dyDescent="0.2">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spans="1:27" ht="12.75" customHeight="1" x14ac:dyDescent="0.2">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row>
    <row r="126" spans="1:27" ht="12.75" customHeight="1" x14ac:dyDescent="0.2">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spans="1:27" ht="12.75" customHeight="1" x14ac:dyDescent="0.2">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spans="1:27" ht="12.75" customHeight="1" x14ac:dyDescent="0.2">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spans="1:27" ht="12.75" customHeight="1" x14ac:dyDescent="0.2">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spans="1:27" ht="12.75" customHeight="1" x14ac:dyDescent="0.2">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row>
    <row r="131" spans="1:27" ht="12.75" customHeight="1" x14ac:dyDescent="0.2">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spans="1:27" ht="12.75" customHeight="1" x14ac:dyDescent="0.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spans="1:27" ht="12.75" customHeight="1" x14ac:dyDescent="0.2">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spans="1:27" ht="12.75" customHeight="1" x14ac:dyDescent="0.2">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spans="1:27" ht="12.75" customHeight="1" x14ac:dyDescent="0.2">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row>
    <row r="136" spans="1:27" ht="12.75" customHeight="1" x14ac:dyDescent="0.2">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row>
    <row r="137" spans="1:27" ht="12.75" customHeight="1" x14ac:dyDescent="0.2">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spans="1:27" ht="12.75" customHeight="1" x14ac:dyDescent="0.2">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row>
    <row r="139" spans="1:27" ht="12.75" customHeight="1" x14ac:dyDescent="0.2">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row>
    <row r="140" spans="1:27" ht="12.75" customHeight="1" x14ac:dyDescent="0.2">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row>
    <row r="141" spans="1:27" ht="12.75" customHeight="1" x14ac:dyDescent="0.2">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row>
    <row r="142" spans="1:27" ht="12.75" customHeight="1" x14ac:dyDescent="0.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row>
    <row r="143" spans="1:27" ht="12.75" customHeight="1" x14ac:dyDescent="0.2">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row>
    <row r="144" spans="1:27" ht="12.75" customHeight="1" x14ac:dyDescent="0.2">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row>
    <row r="145" spans="1:27" ht="12.75" customHeight="1" x14ac:dyDescent="0.2">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row>
    <row r="146" spans="1:27" ht="12.75" customHeight="1" x14ac:dyDescent="0.2">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row>
    <row r="147" spans="1:27" ht="12.75" customHeight="1" x14ac:dyDescent="0.2">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row>
    <row r="148" spans="1:27" ht="12.75" customHeight="1" x14ac:dyDescent="0.2">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row>
    <row r="149" spans="1:27" ht="12.75" customHeight="1" x14ac:dyDescent="0.2">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row>
    <row r="150" spans="1:27" ht="12.75" customHeight="1" x14ac:dyDescent="0.2">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row>
    <row r="151" spans="1:27" ht="12.75" customHeight="1" x14ac:dyDescent="0.2">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row>
    <row r="152" spans="1:27" ht="12.75" customHeight="1" x14ac:dyDescent="0.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row>
    <row r="153" spans="1:27" ht="12.75" customHeight="1" x14ac:dyDescent="0.2">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row>
    <row r="154" spans="1:27" ht="12.75" customHeight="1" x14ac:dyDescent="0.2">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row>
    <row r="155" spans="1:27" ht="12.75" customHeight="1" x14ac:dyDescent="0.2">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row>
    <row r="156" spans="1:27" ht="12.75" customHeight="1" x14ac:dyDescent="0.2">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row>
    <row r="157" spans="1:27" ht="12.75" customHeight="1" x14ac:dyDescent="0.2">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spans="1:27" ht="12.75" customHeight="1" x14ac:dyDescent="0.2">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row>
    <row r="159" spans="1:27" ht="12.75" customHeight="1" x14ac:dyDescent="0.2">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spans="1:27" ht="12.75" customHeight="1" x14ac:dyDescent="0.2">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row>
    <row r="161" spans="1:27" ht="12.75" customHeight="1" x14ac:dyDescent="0.2">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row>
    <row r="162" spans="1:27" ht="12.75" customHeight="1" x14ac:dyDescent="0.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row>
    <row r="163" spans="1:27" ht="12.75" customHeight="1" x14ac:dyDescent="0.2">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row>
    <row r="164" spans="1:27" ht="12.75" customHeight="1" x14ac:dyDescent="0.2">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row>
    <row r="165" spans="1:27" ht="12.75" customHeight="1" x14ac:dyDescent="0.2">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row>
    <row r="166" spans="1:27" ht="12.75" customHeight="1" x14ac:dyDescent="0.2">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row>
    <row r="167" spans="1:27" ht="12.75" customHeight="1" x14ac:dyDescent="0.2">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row>
    <row r="168" spans="1:27" ht="12.75" customHeight="1" x14ac:dyDescent="0.2">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row>
    <row r="169" spans="1:27" ht="12.75" customHeight="1" x14ac:dyDescent="0.2">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row>
    <row r="170" spans="1:27" ht="12.75" customHeight="1" x14ac:dyDescent="0.2">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row>
    <row r="171" spans="1:27" ht="12.75" customHeight="1" x14ac:dyDescent="0.2">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row>
    <row r="172" spans="1:27" ht="12.75" customHeight="1" x14ac:dyDescent="0.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row>
    <row r="173" spans="1:27" ht="12.75" customHeight="1" x14ac:dyDescent="0.2">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row>
    <row r="174" spans="1:27" ht="12.75" customHeight="1" x14ac:dyDescent="0.2">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row>
    <row r="175" spans="1:27" ht="12.75" customHeight="1" x14ac:dyDescent="0.2">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row>
    <row r="176" spans="1:27" ht="12.75" customHeight="1" x14ac:dyDescent="0.2">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row>
    <row r="177" spans="1:27" ht="12.75" customHeight="1" x14ac:dyDescent="0.2">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row>
    <row r="178" spans="1:27" ht="12.75" customHeight="1" x14ac:dyDescent="0.2">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row>
    <row r="179" spans="1:27" ht="12.75" customHeight="1" x14ac:dyDescent="0.2">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row>
    <row r="180" spans="1:27" ht="12.75" customHeight="1" x14ac:dyDescent="0.2">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row>
    <row r="181" spans="1:27" ht="12.75" customHeight="1" x14ac:dyDescent="0.2">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row>
    <row r="182" spans="1:27" ht="12.75" customHeight="1" x14ac:dyDescent="0.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row>
    <row r="183" spans="1:27" ht="12.75" customHeight="1" x14ac:dyDescent="0.2">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row>
    <row r="184" spans="1:27" ht="12.75" customHeight="1" x14ac:dyDescent="0.2">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row>
    <row r="185" spans="1:27" ht="12.75" customHeight="1" x14ac:dyDescent="0.2">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row>
    <row r="186" spans="1:27" ht="12.75" customHeight="1" x14ac:dyDescent="0.2">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row>
    <row r="187" spans="1:27" ht="12.75" customHeight="1" x14ac:dyDescent="0.2">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row>
    <row r="188" spans="1:27" ht="12.75" customHeight="1" x14ac:dyDescent="0.2">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row>
    <row r="189" spans="1:27" ht="12.75" customHeight="1" x14ac:dyDescent="0.2">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row>
    <row r="190" spans="1:27" ht="12.75" customHeight="1" x14ac:dyDescent="0.2">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row>
    <row r="191" spans="1:27" ht="12.75" customHeight="1" x14ac:dyDescent="0.2">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row>
    <row r="192" spans="1:27" ht="12.75" customHeight="1" x14ac:dyDescent="0.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row>
    <row r="193" spans="1:27" ht="12.75" customHeight="1" x14ac:dyDescent="0.2">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row>
    <row r="194" spans="1:27" ht="12.75" customHeight="1" x14ac:dyDescent="0.2">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row>
    <row r="195" spans="1:27" ht="12.75" customHeight="1" x14ac:dyDescent="0.2">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row>
    <row r="196" spans="1:27" ht="12.75" customHeight="1" x14ac:dyDescent="0.2">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row>
    <row r="197" spans="1:27" ht="12.75" customHeight="1" x14ac:dyDescent="0.2">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row>
    <row r="198" spans="1:27" ht="12.75" customHeight="1" x14ac:dyDescent="0.2">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row>
    <row r="199" spans="1:27" ht="12.75" customHeight="1" x14ac:dyDescent="0.2">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row>
    <row r="200" spans="1:27" ht="12.75" customHeight="1" x14ac:dyDescent="0.2">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row>
    <row r="201" spans="1:27" ht="12.75" customHeight="1" x14ac:dyDescent="0.2">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row>
    <row r="202" spans="1:27" ht="12.75" customHeight="1" x14ac:dyDescent="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row>
    <row r="203" spans="1:27" ht="12.75" customHeight="1" x14ac:dyDescent="0.2">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row>
    <row r="204" spans="1:27" ht="12.75" customHeight="1" x14ac:dyDescent="0.2">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row>
    <row r="205" spans="1:27" ht="12.75" customHeight="1" x14ac:dyDescent="0.2">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row>
    <row r="206" spans="1:27" ht="12.75" customHeight="1" x14ac:dyDescent="0.2">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row>
    <row r="207" spans="1:27" ht="12.75" customHeight="1" x14ac:dyDescent="0.2">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row>
    <row r="208" spans="1:27" ht="12.75" customHeight="1" x14ac:dyDescent="0.2">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row>
    <row r="209" spans="1:27" ht="12.75" customHeight="1" x14ac:dyDescent="0.2">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row>
    <row r="210" spans="1:27" ht="12.75" customHeight="1" x14ac:dyDescent="0.2">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row>
    <row r="211" spans="1:27" ht="12.75" customHeight="1" x14ac:dyDescent="0.2">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row>
    <row r="212" spans="1:27" ht="12.75" customHeight="1" x14ac:dyDescent="0.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row>
    <row r="213" spans="1:27" ht="12.75" customHeight="1" x14ac:dyDescent="0.2">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row>
    <row r="214" spans="1:27" ht="12.75" customHeight="1" x14ac:dyDescent="0.2">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row>
    <row r="215" spans="1:27" ht="12.75" customHeight="1" x14ac:dyDescent="0.2">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row>
    <row r="216" spans="1:27" ht="12.75" customHeight="1" x14ac:dyDescent="0.2">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row>
    <row r="217" spans="1:27" ht="12.75" customHeight="1" x14ac:dyDescent="0.2">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row>
    <row r="218" spans="1:27" ht="12.75" customHeight="1" x14ac:dyDescent="0.2">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row>
    <row r="219" spans="1:27" ht="12.75" customHeight="1" x14ac:dyDescent="0.2">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row>
    <row r="220" spans="1:27" ht="12.75" customHeight="1" x14ac:dyDescent="0.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row>
    <row r="221" spans="1:27" ht="12.75" customHeight="1" x14ac:dyDescent="0.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row>
    <row r="222" spans="1:27" ht="12.75" customHeight="1" x14ac:dyDescent="0.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row>
    <row r="223" spans="1:27" ht="12.75" customHeight="1" x14ac:dyDescent="0.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row>
    <row r="224" spans="1:27" ht="12.75" customHeight="1" x14ac:dyDescent="0.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row>
    <row r="225" spans="1:27" ht="12.75" customHeight="1" x14ac:dyDescent="0.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row>
    <row r="226" spans="1:27" ht="12.75" customHeight="1" x14ac:dyDescent="0.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row>
    <row r="227" spans="1:27" ht="12.75" customHeight="1" x14ac:dyDescent="0.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row>
    <row r="228" spans="1:27" ht="12.75" customHeight="1" x14ac:dyDescent="0.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row>
    <row r="229" spans="1:27" ht="12.75" customHeight="1" x14ac:dyDescent="0.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row>
    <row r="230" spans="1:27" ht="12.75" customHeight="1" x14ac:dyDescent="0.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row>
    <row r="231" spans="1:27" ht="12.75" customHeight="1" x14ac:dyDescent="0.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row>
    <row r="232" spans="1:27" ht="12.75" customHeight="1" x14ac:dyDescent="0.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row>
    <row r="233" spans="1:27" ht="12.75" customHeight="1" x14ac:dyDescent="0.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row>
    <row r="234" spans="1:27" ht="12.75" customHeight="1" x14ac:dyDescent="0.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row>
    <row r="235" spans="1:27" ht="12.75" customHeight="1" x14ac:dyDescent="0.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row>
    <row r="236" spans="1:27" ht="12.75" customHeight="1" x14ac:dyDescent="0.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row>
    <row r="237" spans="1:27" ht="12.75" customHeight="1" x14ac:dyDescent="0.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row>
    <row r="238" spans="1:27" ht="12.75" customHeight="1" x14ac:dyDescent="0.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row>
    <row r="239" spans="1:27" ht="12.75" customHeight="1" x14ac:dyDescent="0.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row>
    <row r="240" spans="1:27" ht="12.75" customHeight="1" x14ac:dyDescent="0.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row>
    <row r="241" spans="1:27" ht="12.75" customHeight="1" x14ac:dyDescent="0.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row>
    <row r="242" spans="1:27" ht="12.75" customHeight="1" x14ac:dyDescent="0.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row>
    <row r="243" spans="1:27" ht="12.75" customHeight="1" x14ac:dyDescent="0.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row>
    <row r="244" spans="1:27" ht="12.75" customHeight="1" x14ac:dyDescent="0.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row>
    <row r="245" spans="1:27" ht="12.75" customHeight="1" x14ac:dyDescent="0.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row>
    <row r="246" spans="1:27" ht="12.75" customHeight="1" x14ac:dyDescent="0.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row>
    <row r="247" spans="1:27" ht="12.75" customHeight="1" x14ac:dyDescent="0.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row>
    <row r="248" spans="1:27" ht="12.75" customHeight="1" x14ac:dyDescent="0.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row>
    <row r="249" spans="1:27" ht="12.75" customHeight="1" x14ac:dyDescent="0.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row>
    <row r="250" spans="1:27" ht="12.75" customHeight="1" x14ac:dyDescent="0.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row>
    <row r="251" spans="1:27" ht="12.75" customHeight="1" x14ac:dyDescent="0.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row>
    <row r="252" spans="1:27" ht="12.75" customHeight="1" x14ac:dyDescent="0.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row>
    <row r="253" spans="1:27" ht="12.75" customHeight="1" x14ac:dyDescent="0.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row>
    <row r="254" spans="1:27" ht="12.75" customHeight="1" x14ac:dyDescent="0.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row>
    <row r="255" spans="1:27" ht="12.75" customHeight="1" x14ac:dyDescent="0.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row>
    <row r="256" spans="1:27" ht="12.75" customHeight="1" x14ac:dyDescent="0.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row>
    <row r="257" spans="1:27" ht="12.75" customHeight="1" x14ac:dyDescent="0.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row>
    <row r="258" spans="1:27" ht="12.75" customHeight="1" x14ac:dyDescent="0.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row>
    <row r="259" spans="1:27" ht="12.75" customHeight="1" x14ac:dyDescent="0.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row>
    <row r="260" spans="1:27" ht="12.75" customHeight="1" x14ac:dyDescent="0.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row>
    <row r="261" spans="1:27" ht="12.75" customHeight="1" x14ac:dyDescent="0.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row>
    <row r="262" spans="1:27" ht="12.75" customHeight="1" x14ac:dyDescent="0.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row>
    <row r="263" spans="1:27" ht="12.75" customHeight="1" x14ac:dyDescent="0.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row>
    <row r="264" spans="1:27" ht="12.75" customHeight="1" x14ac:dyDescent="0.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row>
    <row r="265" spans="1:27" ht="12.75" customHeight="1" x14ac:dyDescent="0.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row>
    <row r="266" spans="1:27" ht="12.75" customHeight="1" x14ac:dyDescent="0.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row>
    <row r="267" spans="1:27" ht="12.75" customHeight="1" x14ac:dyDescent="0.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row>
    <row r="268" spans="1:27" ht="12.75" customHeight="1" x14ac:dyDescent="0.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row>
    <row r="269" spans="1:27" ht="12.75" customHeight="1" x14ac:dyDescent="0.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row>
    <row r="270" spans="1:27" ht="12.75" customHeight="1" x14ac:dyDescent="0.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row>
    <row r="271" spans="1:27" ht="12.75" customHeight="1" x14ac:dyDescent="0.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row>
    <row r="272" spans="1:27" ht="12.75" customHeight="1" x14ac:dyDescent="0.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row>
    <row r="273" spans="1:27" ht="12.75" customHeight="1" x14ac:dyDescent="0.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row>
    <row r="274" spans="1:27" ht="12.75" customHeight="1" x14ac:dyDescent="0.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row>
    <row r="275" spans="1:27" ht="12.75" customHeight="1" x14ac:dyDescent="0.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row>
    <row r="276" spans="1:27" ht="12.75" customHeight="1" x14ac:dyDescent="0.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row>
    <row r="277" spans="1:27" ht="12.75" customHeight="1" x14ac:dyDescent="0.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row>
    <row r="278" spans="1:27" ht="12.75" customHeight="1" x14ac:dyDescent="0.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row>
    <row r="279" spans="1:27" ht="12.75" customHeight="1" x14ac:dyDescent="0.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row>
    <row r="280" spans="1:27" ht="12.75" customHeight="1" x14ac:dyDescent="0.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row>
    <row r="281" spans="1:27" ht="12.75" customHeight="1" x14ac:dyDescent="0.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row>
    <row r="282" spans="1:27" ht="12.75" customHeight="1" x14ac:dyDescent="0.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row>
    <row r="283" spans="1:27" ht="12.75" customHeight="1" x14ac:dyDescent="0.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row>
    <row r="284" spans="1:27" ht="12.75" customHeight="1" x14ac:dyDescent="0.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row>
    <row r="285" spans="1:27" ht="12.75" customHeight="1" x14ac:dyDescent="0.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row>
    <row r="286" spans="1:27" ht="12.75" customHeight="1" x14ac:dyDescent="0.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row>
    <row r="287" spans="1:27" ht="12.75" customHeight="1" x14ac:dyDescent="0.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row>
    <row r="288" spans="1:27" ht="12.75" customHeight="1" x14ac:dyDescent="0.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row>
    <row r="289" spans="1:27" ht="12.75" customHeight="1" x14ac:dyDescent="0.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row>
    <row r="290" spans="1:27" ht="12.75" customHeight="1" x14ac:dyDescent="0.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row>
    <row r="291" spans="1:27" ht="12.75" customHeight="1" x14ac:dyDescent="0.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row>
    <row r="292" spans="1:27" ht="12.75" customHeight="1" x14ac:dyDescent="0.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row>
    <row r="293" spans="1:27" ht="12.75" customHeight="1" x14ac:dyDescent="0.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row>
    <row r="294" spans="1:27" ht="12.75" customHeight="1" x14ac:dyDescent="0.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row>
    <row r="295" spans="1:27" ht="12.75" customHeight="1" x14ac:dyDescent="0.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row>
    <row r="296" spans="1:27" ht="12.75" customHeight="1" x14ac:dyDescent="0.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row>
    <row r="297" spans="1:27" ht="12.75" customHeight="1" x14ac:dyDescent="0.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row>
    <row r="298" spans="1:27" ht="12.75" customHeight="1" x14ac:dyDescent="0.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row>
    <row r="299" spans="1:27" ht="12.75" customHeight="1" x14ac:dyDescent="0.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row>
    <row r="300" spans="1:27" ht="12.75" customHeight="1" x14ac:dyDescent="0.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row>
    <row r="301" spans="1:27" ht="12.75" customHeight="1" x14ac:dyDescent="0.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row>
    <row r="302" spans="1:27" ht="12.75" customHeight="1" x14ac:dyDescent="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row>
    <row r="303" spans="1:27" ht="12.75" customHeight="1" x14ac:dyDescent="0.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row>
    <row r="304" spans="1:27" ht="12.75" customHeight="1" x14ac:dyDescent="0.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row>
    <row r="305" spans="1:27" ht="12.75" customHeight="1" x14ac:dyDescent="0.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row>
    <row r="306" spans="1:27" ht="12.75" customHeight="1" x14ac:dyDescent="0.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row>
    <row r="307" spans="1:27" ht="12.75" customHeight="1" x14ac:dyDescent="0.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row>
    <row r="308" spans="1:27" ht="12.75" customHeight="1" x14ac:dyDescent="0.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row>
    <row r="309" spans="1:27" ht="12.75" customHeight="1" x14ac:dyDescent="0.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row>
    <row r="310" spans="1:27" ht="12.75" customHeight="1" x14ac:dyDescent="0.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row>
    <row r="311" spans="1:27" ht="12.75" customHeight="1" x14ac:dyDescent="0.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row>
    <row r="312" spans="1:27" ht="12.75" customHeight="1" x14ac:dyDescent="0.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row>
    <row r="313" spans="1:27" ht="12.75" customHeight="1" x14ac:dyDescent="0.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row>
    <row r="314" spans="1:27" ht="12.75" customHeight="1" x14ac:dyDescent="0.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row>
    <row r="315" spans="1:27" ht="12.75" customHeight="1" x14ac:dyDescent="0.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row>
    <row r="316" spans="1:27" ht="12.75" customHeight="1" x14ac:dyDescent="0.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row>
    <row r="317" spans="1:27" ht="12.75" customHeight="1" x14ac:dyDescent="0.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row>
    <row r="318" spans="1:27" ht="12.75" customHeight="1" x14ac:dyDescent="0.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row>
    <row r="319" spans="1:27" ht="12.75" customHeight="1" x14ac:dyDescent="0.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row>
    <row r="320" spans="1:27" ht="12.75" customHeight="1" x14ac:dyDescent="0.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row>
    <row r="321" spans="1:27" ht="12.75" customHeight="1" x14ac:dyDescent="0.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row>
    <row r="322" spans="1:27" ht="12.75" customHeight="1" x14ac:dyDescent="0.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row>
    <row r="323" spans="1:27" ht="12.75" customHeight="1" x14ac:dyDescent="0.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row>
    <row r="324" spans="1:27" ht="12.75" customHeight="1" x14ac:dyDescent="0.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row>
    <row r="325" spans="1:27" ht="12.75" customHeight="1" x14ac:dyDescent="0.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row>
    <row r="326" spans="1:27" ht="12.75" customHeight="1" x14ac:dyDescent="0.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row>
    <row r="327" spans="1:27" ht="12.75" customHeight="1" x14ac:dyDescent="0.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row>
    <row r="328" spans="1:27" ht="12.75" customHeight="1" x14ac:dyDescent="0.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row>
    <row r="329" spans="1:27" ht="12.75" customHeight="1" x14ac:dyDescent="0.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row>
    <row r="330" spans="1:27" ht="12.75" customHeight="1" x14ac:dyDescent="0.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row>
    <row r="331" spans="1:27" ht="12.75" customHeight="1" x14ac:dyDescent="0.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row>
    <row r="332" spans="1:27" ht="12.75" customHeight="1" x14ac:dyDescent="0.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row>
    <row r="333" spans="1:27" ht="12.75" customHeight="1" x14ac:dyDescent="0.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row>
    <row r="334" spans="1:27" ht="12.75" customHeight="1" x14ac:dyDescent="0.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row>
    <row r="335" spans="1:27" ht="12.75" customHeight="1" x14ac:dyDescent="0.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row>
    <row r="336" spans="1:27" ht="12.75" customHeight="1" x14ac:dyDescent="0.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row>
    <row r="337" spans="1:27" ht="12.75" customHeight="1" x14ac:dyDescent="0.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row>
    <row r="338" spans="1:27" ht="12.75" customHeight="1" x14ac:dyDescent="0.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row>
    <row r="339" spans="1:27" ht="12.75" customHeight="1" x14ac:dyDescent="0.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row>
    <row r="340" spans="1:27" ht="12.75" customHeight="1" x14ac:dyDescent="0.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row>
    <row r="341" spans="1:27" ht="12.75" customHeight="1" x14ac:dyDescent="0.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row>
    <row r="342" spans="1:27" ht="12.75" customHeight="1" x14ac:dyDescent="0.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row>
    <row r="343" spans="1:27" ht="12.75" customHeight="1" x14ac:dyDescent="0.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row>
    <row r="344" spans="1:27" ht="12.75" customHeight="1" x14ac:dyDescent="0.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row>
    <row r="345" spans="1:27" ht="12.75" customHeight="1" x14ac:dyDescent="0.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row>
    <row r="346" spans="1:27" ht="12.75" customHeight="1" x14ac:dyDescent="0.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row>
    <row r="347" spans="1:27" ht="12.75" customHeight="1" x14ac:dyDescent="0.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row>
    <row r="348" spans="1:27" ht="12.75" customHeight="1" x14ac:dyDescent="0.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row>
    <row r="349" spans="1:27" ht="12.75" customHeight="1" x14ac:dyDescent="0.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row>
    <row r="350" spans="1:27" ht="12.75" customHeight="1" x14ac:dyDescent="0.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row>
    <row r="351" spans="1:27" ht="12.75" customHeight="1" x14ac:dyDescent="0.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row>
    <row r="352" spans="1:27" ht="12.75" customHeight="1" x14ac:dyDescent="0.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row>
    <row r="353" spans="1:27" ht="12.75" customHeight="1" x14ac:dyDescent="0.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row>
    <row r="354" spans="1:27" ht="12.75" customHeight="1" x14ac:dyDescent="0.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row>
    <row r="355" spans="1:27" ht="12.75" customHeight="1" x14ac:dyDescent="0.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row>
    <row r="356" spans="1:27" ht="12.75" customHeight="1" x14ac:dyDescent="0.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row>
    <row r="357" spans="1:27" ht="12.75" customHeight="1" x14ac:dyDescent="0.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row>
    <row r="358" spans="1:27" ht="12.75" customHeight="1" x14ac:dyDescent="0.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row>
    <row r="359" spans="1:27" ht="12.75" customHeight="1" x14ac:dyDescent="0.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row>
    <row r="360" spans="1:27" ht="12.75" customHeight="1" x14ac:dyDescent="0.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row>
    <row r="361" spans="1:27" ht="12.75" customHeight="1" x14ac:dyDescent="0.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row>
    <row r="362" spans="1:27" ht="12.75" customHeight="1" x14ac:dyDescent="0.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row>
    <row r="363" spans="1:27" ht="12.75" customHeight="1" x14ac:dyDescent="0.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row>
    <row r="364" spans="1:27" ht="12.75" customHeight="1" x14ac:dyDescent="0.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row>
    <row r="365" spans="1:27" ht="12.75" customHeight="1" x14ac:dyDescent="0.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row>
    <row r="366" spans="1:27" ht="12.75" customHeight="1" x14ac:dyDescent="0.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row>
    <row r="367" spans="1:27" ht="12.75" customHeight="1" x14ac:dyDescent="0.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row>
    <row r="368" spans="1:27" ht="12.75" customHeight="1" x14ac:dyDescent="0.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row>
    <row r="369" spans="1:27" ht="12.75" customHeight="1" x14ac:dyDescent="0.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row>
    <row r="370" spans="1:27" ht="12.75" customHeight="1" x14ac:dyDescent="0.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row>
    <row r="371" spans="1:27" ht="12.75" customHeight="1" x14ac:dyDescent="0.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row>
    <row r="372" spans="1:27" ht="12.75" customHeight="1" x14ac:dyDescent="0.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row>
    <row r="373" spans="1:27" ht="12.75" customHeight="1" x14ac:dyDescent="0.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row>
    <row r="374" spans="1:27" ht="12.75" customHeight="1" x14ac:dyDescent="0.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row>
    <row r="375" spans="1:27" ht="12.75" customHeight="1" x14ac:dyDescent="0.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row>
    <row r="376" spans="1:27" ht="12.75" customHeight="1" x14ac:dyDescent="0.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row>
    <row r="377" spans="1:27" ht="12.75" customHeight="1" x14ac:dyDescent="0.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row>
    <row r="378" spans="1:27" ht="12.75" customHeight="1" x14ac:dyDescent="0.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row>
    <row r="379" spans="1:27" ht="12.75" customHeight="1" x14ac:dyDescent="0.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row>
    <row r="380" spans="1:27" ht="12.75" customHeight="1" x14ac:dyDescent="0.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row>
    <row r="381" spans="1:27" ht="12.75" customHeight="1" x14ac:dyDescent="0.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row>
    <row r="382" spans="1:27" ht="12.75" customHeight="1" x14ac:dyDescent="0.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row>
    <row r="383" spans="1:27" ht="12.75" customHeight="1" x14ac:dyDescent="0.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row>
    <row r="384" spans="1:27" ht="12.75" customHeight="1" x14ac:dyDescent="0.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row>
    <row r="385" spans="1:27" ht="12.75" customHeight="1" x14ac:dyDescent="0.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row>
    <row r="386" spans="1:27" ht="12.75" customHeight="1" x14ac:dyDescent="0.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row>
    <row r="387" spans="1:27" ht="12.75" customHeight="1" x14ac:dyDescent="0.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row>
    <row r="388" spans="1:27" ht="12.75" customHeight="1" x14ac:dyDescent="0.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row>
    <row r="389" spans="1:27" ht="12.75" customHeight="1" x14ac:dyDescent="0.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row>
    <row r="390" spans="1:27" ht="12.75" customHeight="1" x14ac:dyDescent="0.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row>
    <row r="391" spans="1:27" ht="12.75" customHeight="1" x14ac:dyDescent="0.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row>
    <row r="392" spans="1:27" ht="12.75" customHeight="1" x14ac:dyDescent="0.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row>
    <row r="393" spans="1:27" ht="12.75" customHeight="1" x14ac:dyDescent="0.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row>
    <row r="394" spans="1:27" ht="12.75" customHeight="1" x14ac:dyDescent="0.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row>
    <row r="395" spans="1:27" ht="12.75" customHeight="1" x14ac:dyDescent="0.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row>
    <row r="396" spans="1:27" ht="12.75" customHeight="1" x14ac:dyDescent="0.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row>
    <row r="397" spans="1:27" ht="12.75" customHeight="1" x14ac:dyDescent="0.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row>
    <row r="398" spans="1:27" ht="12.75" customHeight="1" x14ac:dyDescent="0.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row>
    <row r="399" spans="1:27" ht="12.75" customHeight="1" x14ac:dyDescent="0.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row>
    <row r="400" spans="1:27" ht="12.75" customHeight="1" x14ac:dyDescent="0.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row>
    <row r="401" spans="1:27" ht="12.75" customHeight="1" x14ac:dyDescent="0.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row>
    <row r="402" spans="1:27" ht="12.75" customHeight="1" x14ac:dyDescent="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row>
    <row r="403" spans="1:27" ht="12.75" customHeight="1" x14ac:dyDescent="0.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row>
    <row r="404" spans="1:27" ht="12.75" customHeight="1" x14ac:dyDescent="0.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row>
    <row r="405" spans="1:27" ht="12.75" customHeight="1" x14ac:dyDescent="0.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row>
    <row r="406" spans="1:27" ht="12.75" customHeight="1" x14ac:dyDescent="0.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row>
    <row r="407" spans="1:27" ht="12.75" customHeight="1" x14ac:dyDescent="0.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row>
    <row r="408" spans="1:27" ht="12.75" customHeight="1" x14ac:dyDescent="0.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row>
    <row r="409" spans="1:27" ht="12.75" customHeight="1" x14ac:dyDescent="0.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row>
    <row r="410" spans="1:27" ht="12.75" customHeight="1" x14ac:dyDescent="0.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row>
    <row r="411" spans="1:27" ht="12.75" customHeight="1" x14ac:dyDescent="0.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row>
    <row r="412" spans="1:27" ht="12.75" customHeight="1" x14ac:dyDescent="0.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row>
    <row r="413" spans="1:27" ht="12.75" customHeight="1" x14ac:dyDescent="0.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row>
    <row r="414" spans="1:27" ht="12.75" customHeight="1" x14ac:dyDescent="0.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row>
    <row r="415" spans="1:27" ht="12.75" customHeight="1" x14ac:dyDescent="0.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row>
    <row r="416" spans="1:27" ht="12.75" customHeight="1" x14ac:dyDescent="0.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row>
    <row r="417" spans="1:27" ht="12.75" customHeight="1" x14ac:dyDescent="0.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row>
    <row r="418" spans="1:27" ht="12.75" customHeight="1" x14ac:dyDescent="0.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row>
    <row r="419" spans="1:27" ht="12.75" customHeight="1" x14ac:dyDescent="0.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row>
    <row r="420" spans="1:27" ht="12.75" customHeight="1" x14ac:dyDescent="0.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row>
    <row r="421" spans="1:27" ht="12.75" customHeight="1" x14ac:dyDescent="0.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row>
    <row r="422" spans="1:27" ht="12.75" customHeight="1" x14ac:dyDescent="0.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row>
    <row r="423" spans="1:27" ht="12.75" customHeight="1" x14ac:dyDescent="0.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row>
    <row r="424" spans="1:27" ht="12.75" customHeight="1" x14ac:dyDescent="0.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row>
    <row r="425" spans="1:27" ht="12.75" customHeight="1" x14ac:dyDescent="0.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row>
    <row r="426" spans="1:27" ht="12.75" customHeight="1" x14ac:dyDescent="0.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row>
    <row r="427" spans="1:27" ht="12.75" customHeight="1" x14ac:dyDescent="0.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row>
    <row r="428" spans="1:27" ht="12.75" customHeight="1" x14ac:dyDescent="0.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row>
    <row r="429" spans="1:27" ht="12.75" customHeight="1" x14ac:dyDescent="0.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row>
    <row r="430" spans="1:27" ht="12.75" customHeight="1" x14ac:dyDescent="0.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row>
    <row r="431" spans="1:27" ht="12.75" customHeight="1" x14ac:dyDescent="0.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row>
    <row r="432" spans="1:27" ht="12.75" customHeight="1" x14ac:dyDescent="0.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row>
    <row r="433" spans="1:27" ht="12.75" customHeight="1" x14ac:dyDescent="0.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row>
    <row r="434" spans="1:27" ht="12.75" customHeight="1" x14ac:dyDescent="0.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row>
    <row r="435" spans="1:27" ht="12.75" customHeight="1" x14ac:dyDescent="0.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row>
    <row r="436" spans="1:27" ht="12.75" customHeight="1" x14ac:dyDescent="0.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row>
    <row r="437" spans="1:27" ht="12.75" customHeight="1" x14ac:dyDescent="0.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row>
    <row r="438" spans="1:27" ht="12.75" customHeight="1" x14ac:dyDescent="0.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row>
    <row r="439" spans="1:27" ht="12.75" customHeight="1" x14ac:dyDescent="0.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row>
    <row r="440" spans="1:27" ht="12.75" customHeight="1" x14ac:dyDescent="0.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row>
    <row r="441" spans="1:27" ht="12.75" customHeight="1" x14ac:dyDescent="0.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row>
    <row r="442" spans="1:27" ht="12.75" customHeight="1" x14ac:dyDescent="0.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row>
    <row r="443" spans="1:27" ht="12.75" customHeight="1" x14ac:dyDescent="0.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row>
    <row r="444" spans="1:27" ht="12.75" customHeight="1" x14ac:dyDescent="0.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row>
    <row r="445" spans="1:27" ht="12.75" customHeight="1" x14ac:dyDescent="0.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row>
    <row r="446" spans="1:27" ht="12.75" customHeight="1" x14ac:dyDescent="0.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row>
    <row r="447" spans="1:27" ht="12.75" customHeight="1" x14ac:dyDescent="0.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row>
    <row r="448" spans="1:27" ht="12.75" customHeight="1" x14ac:dyDescent="0.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row>
    <row r="449" spans="1:27" ht="12.75" customHeight="1" x14ac:dyDescent="0.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row>
    <row r="450" spans="1:27" ht="12.75" customHeight="1" x14ac:dyDescent="0.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row>
    <row r="451" spans="1:27" ht="12.75" customHeight="1" x14ac:dyDescent="0.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row>
    <row r="452" spans="1:27" ht="12.75" customHeight="1" x14ac:dyDescent="0.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row>
    <row r="453" spans="1:27" ht="12.75" customHeight="1" x14ac:dyDescent="0.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row>
    <row r="454" spans="1:27" ht="12.75" customHeight="1" x14ac:dyDescent="0.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row>
    <row r="455" spans="1:27" ht="12.75" customHeight="1" x14ac:dyDescent="0.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row>
    <row r="456" spans="1:27" ht="12.75" customHeight="1" x14ac:dyDescent="0.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row>
    <row r="457" spans="1:27" ht="12.75" customHeight="1" x14ac:dyDescent="0.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row>
    <row r="458" spans="1:27" ht="12.75" customHeight="1" x14ac:dyDescent="0.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row>
    <row r="459" spans="1:27" ht="12.75" customHeight="1" x14ac:dyDescent="0.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row>
    <row r="460" spans="1:27" ht="12.75" customHeight="1" x14ac:dyDescent="0.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row>
    <row r="461" spans="1:27" ht="12.75" customHeight="1" x14ac:dyDescent="0.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row>
    <row r="462" spans="1:27" ht="12.75" customHeight="1" x14ac:dyDescent="0.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row>
    <row r="463" spans="1:27" ht="12.75" customHeight="1" x14ac:dyDescent="0.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row>
    <row r="464" spans="1:27" ht="12.75" customHeight="1" x14ac:dyDescent="0.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row>
    <row r="465" spans="1:27" ht="12.75" customHeight="1" x14ac:dyDescent="0.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row>
    <row r="466" spans="1:27" ht="12.75" customHeight="1" x14ac:dyDescent="0.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row>
    <row r="467" spans="1:27" ht="12.75" customHeight="1" x14ac:dyDescent="0.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row>
    <row r="468" spans="1:27" ht="12.75" customHeight="1" x14ac:dyDescent="0.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row>
    <row r="469" spans="1:27" ht="12.75" customHeight="1" x14ac:dyDescent="0.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row>
    <row r="470" spans="1:27" ht="12.75" customHeight="1" x14ac:dyDescent="0.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row>
    <row r="471" spans="1:27" ht="12.75" customHeight="1" x14ac:dyDescent="0.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row>
    <row r="472" spans="1:27" ht="12.75" customHeight="1" x14ac:dyDescent="0.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row>
    <row r="473" spans="1:27" ht="12.75" customHeight="1" x14ac:dyDescent="0.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row>
    <row r="474" spans="1:27" ht="12.75" customHeight="1" x14ac:dyDescent="0.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row>
    <row r="475" spans="1:27" ht="12.75" customHeight="1" x14ac:dyDescent="0.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row>
    <row r="476" spans="1:27" ht="12.75" customHeight="1" x14ac:dyDescent="0.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row>
    <row r="477" spans="1:27" ht="12.75" customHeight="1" x14ac:dyDescent="0.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row>
    <row r="478" spans="1:27" ht="12.75" customHeight="1" x14ac:dyDescent="0.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row>
    <row r="479" spans="1:27" ht="12.75" customHeight="1" x14ac:dyDescent="0.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row>
    <row r="480" spans="1:27" ht="12.75" customHeight="1" x14ac:dyDescent="0.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row>
    <row r="481" spans="1:27" ht="12.75" customHeight="1" x14ac:dyDescent="0.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row>
    <row r="482" spans="1:27" ht="12.75" customHeight="1" x14ac:dyDescent="0.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row>
    <row r="483" spans="1:27" ht="12.75" customHeight="1" x14ac:dyDescent="0.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row>
    <row r="484" spans="1:27" ht="12.75" customHeight="1" x14ac:dyDescent="0.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row>
    <row r="485" spans="1:27" ht="12.75" customHeight="1" x14ac:dyDescent="0.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row>
    <row r="486" spans="1:27" ht="12.75" customHeight="1" x14ac:dyDescent="0.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row>
    <row r="487" spans="1:27" ht="12.75" customHeight="1" x14ac:dyDescent="0.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row>
    <row r="488" spans="1:27" ht="12.75" customHeight="1" x14ac:dyDescent="0.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row>
    <row r="489" spans="1:27" ht="12.75" customHeight="1" x14ac:dyDescent="0.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row>
    <row r="490" spans="1:27" ht="12.75" customHeight="1" x14ac:dyDescent="0.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row>
    <row r="491" spans="1:27" ht="12.75" customHeight="1" x14ac:dyDescent="0.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row>
    <row r="492" spans="1:27" ht="12.75" customHeight="1" x14ac:dyDescent="0.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row>
    <row r="493" spans="1:27" ht="12.75" customHeight="1" x14ac:dyDescent="0.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row>
    <row r="494" spans="1:27" ht="12.75" customHeight="1" x14ac:dyDescent="0.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row>
    <row r="495" spans="1:27" ht="12.75" customHeight="1" x14ac:dyDescent="0.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row>
    <row r="496" spans="1:27" ht="12.75" customHeight="1" x14ac:dyDescent="0.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row>
    <row r="497" spans="1:27" ht="12.75" customHeight="1" x14ac:dyDescent="0.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row>
    <row r="498" spans="1:27" ht="12.75" customHeight="1" x14ac:dyDescent="0.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row>
    <row r="499" spans="1:27" ht="12.75" customHeight="1" x14ac:dyDescent="0.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row>
    <row r="500" spans="1:27" ht="12.75" customHeight="1" x14ac:dyDescent="0.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row>
    <row r="501" spans="1:27" ht="12.75" customHeight="1" x14ac:dyDescent="0.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row>
    <row r="502" spans="1:27" ht="12.75" customHeight="1" x14ac:dyDescent="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row>
    <row r="503" spans="1:27" ht="12.75" customHeight="1" x14ac:dyDescent="0.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row>
    <row r="504" spans="1:27" ht="12.75" customHeight="1" x14ac:dyDescent="0.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row>
    <row r="505" spans="1:27" ht="12.75" customHeight="1" x14ac:dyDescent="0.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row>
    <row r="506" spans="1:27" ht="12.75" customHeight="1" x14ac:dyDescent="0.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row>
    <row r="507" spans="1:27" ht="12.75" customHeight="1" x14ac:dyDescent="0.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row>
    <row r="508" spans="1:27" ht="12.75" customHeight="1" x14ac:dyDescent="0.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row>
    <row r="509" spans="1:27" ht="12.75" customHeight="1" x14ac:dyDescent="0.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row>
    <row r="510" spans="1:27" ht="12.75" customHeight="1" x14ac:dyDescent="0.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row>
    <row r="511" spans="1:27" ht="12.75" customHeight="1" x14ac:dyDescent="0.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row>
    <row r="512" spans="1:27" ht="12.75" customHeight="1" x14ac:dyDescent="0.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row>
    <row r="513" spans="1:27" ht="12.75" customHeight="1" x14ac:dyDescent="0.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row>
    <row r="514" spans="1:27" ht="12.75" customHeight="1" x14ac:dyDescent="0.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row>
    <row r="515" spans="1:27" ht="12.75" customHeight="1" x14ac:dyDescent="0.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row>
    <row r="516" spans="1:27" ht="12.75" customHeight="1" x14ac:dyDescent="0.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row>
    <row r="517" spans="1:27" ht="12.75" customHeight="1" x14ac:dyDescent="0.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row>
    <row r="518" spans="1:27" ht="12.75" customHeight="1" x14ac:dyDescent="0.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row>
    <row r="519" spans="1:27" ht="12.75" customHeight="1" x14ac:dyDescent="0.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row>
    <row r="520" spans="1:27" ht="12.75" customHeight="1" x14ac:dyDescent="0.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row>
    <row r="521" spans="1:27" ht="12.75" customHeight="1" x14ac:dyDescent="0.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row>
    <row r="522" spans="1:27" ht="12.75" customHeight="1" x14ac:dyDescent="0.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row>
    <row r="523" spans="1:27" ht="12.75" customHeight="1" x14ac:dyDescent="0.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row>
    <row r="524" spans="1:27" ht="12.75" customHeight="1" x14ac:dyDescent="0.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row>
    <row r="525" spans="1:27" ht="12.75" customHeight="1" x14ac:dyDescent="0.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row>
    <row r="526" spans="1:27" ht="12.75" customHeight="1" x14ac:dyDescent="0.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row>
    <row r="527" spans="1:27" ht="12.75" customHeight="1" x14ac:dyDescent="0.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row>
    <row r="528" spans="1:27" ht="12.75" customHeight="1" x14ac:dyDescent="0.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row>
    <row r="529" spans="1:27" ht="12.75" customHeight="1" x14ac:dyDescent="0.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row>
    <row r="530" spans="1:27" ht="12.75" customHeight="1" x14ac:dyDescent="0.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row>
    <row r="531" spans="1:27" ht="12.75" customHeight="1" x14ac:dyDescent="0.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row>
    <row r="532" spans="1:27" ht="12.75" customHeight="1" x14ac:dyDescent="0.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row>
    <row r="533" spans="1:27" ht="12.75" customHeight="1" x14ac:dyDescent="0.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row>
    <row r="534" spans="1:27" ht="12.75" customHeight="1" x14ac:dyDescent="0.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row>
    <row r="535" spans="1:27" ht="12.75" customHeight="1" x14ac:dyDescent="0.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row>
    <row r="536" spans="1:27" ht="12.75" customHeight="1" x14ac:dyDescent="0.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row>
    <row r="537" spans="1:27" ht="12.75" customHeight="1" x14ac:dyDescent="0.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row>
    <row r="538" spans="1:27" ht="12.75" customHeight="1" x14ac:dyDescent="0.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row>
    <row r="539" spans="1:27" ht="12.75" customHeight="1" x14ac:dyDescent="0.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row>
    <row r="540" spans="1:27" ht="12.75" customHeight="1" x14ac:dyDescent="0.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row>
    <row r="541" spans="1:27" ht="12.75" customHeight="1" x14ac:dyDescent="0.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row>
    <row r="542" spans="1:27" ht="12.75" customHeight="1" x14ac:dyDescent="0.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row>
    <row r="543" spans="1:27" ht="12.75" customHeight="1" x14ac:dyDescent="0.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row>
    <row r="544" spans="1:27" ht="12.75" customHeight="1" x14ac:dyDescent="0.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row>
    <row r="545" spans="1:27" ht="12.75" customHeight="1" x14ac:dyDescent="0.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row>
    <row r="546" spans="1:27" ht="12.75" customHeight="1" x14ac:dyDescent="0.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row>
    <row r="547" spans="1:27" ht="12.75" customHeight="1" x14ac:dyDescent="0.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row>
    <row r="548" spans="1:27" ht="12.75" customHeight="1" x14ac:dyDescent="0.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row>
    <row r="549" spans="1:27" ht="12.75" customHeight="1" x14ac:dyDescent="0.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row>
    <row r="550" spans="1:27" ht="12.75" customHeight="1" x14ac:dyDescent="0.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row>
    <row r="551" spans="1:27" ht="12.75" customHeight="1" x14ac:dyDescent="0.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row>
    <row r="552" spans="1:27" ht="12.75" customHeight="1" x14ac:dyDescent="0.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row>
    <row r="553" spans="1:27" ht="12.75" customHeight="1" x14ac:dyDescent="0.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row>
    <row r="554" spans="1:27" ht="12.75" customHeight="1" x14ac:dyDescent="0.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row>
    <row r="555" spans="1:27" ht="12.75" customHeight="1" x14ac:dyDescent="0.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row>
    <row r="556" spans="1:27" ht="12.75" customHeight="1" x14ac:dyDescent="0.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row>
    <row r="557" spans="1:27" ht="12.75" customHeight="1" x14ac:dyDescent="0.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row>
    <row r="558" spans="1:27" ht="12.75" customHeight="1" x14ac:dyDescent="0.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row>
    <row r="559" spans="1:27" ht="12.75" customHeight="1" x14ac:dyDescent="0.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row>
    <row r="560" spans="1:27" ht="12.75" customHeight="1" x14ac:dyDescent="0.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row>
    <row r="561" spans="1:27" ht="12.75" customHeight="1" x14ac:dyDescent="0.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row>
    <row r="562" spans="1:27" ht="12.75" customHeight="1" x14ac:dyDescent="0.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row>
    <row r="563" spans="1:27" ht="12.75" customHeight="1" x14ac:dyDescent="0.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row>
    <row r="564" spans="1:27" ht="12.75" customHeight="1" x14ac:dyDescent="0.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row>
    <row r="565" spans="1:27" ht="12.75" customHeight="1" x14ac:dyDescent="0.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row>
    <row r="566" spans="1:27" ht="12.75" customHeight="1" x14ac:dyDescent="0.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row>
    <row r="567" spans="1:27" ht="12.75" customHeight="1" x14ac:dyDescent="0.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row>
    <row r="568" spans="1:27" ht="12.75" customHeight="1" x14ac:dyDescent="0.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row>
    <row r="569" spans="1:27" ht="12.75" customHeight="1" x14ac:dyDescent="0.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row>
    <row r="570" spans="1:27" ht="12.75" customHeight="1" x14ac:dyDescent="0.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row>
    <row r="571" spans="1:27" ht="12.75" customHeight="1" x14ac:dyDescent="0.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row>
    <row r="572" spans="1:27" ht="12.75" customHeight="1" x14ac:dyDescent="0.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row>
    <row r="573" spans="1:27" ht="12.75" customHeight="1" x14ac:dyDescent="0.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row>
    <row r="574" spans="1:27" ht="12.75" customHeight="1" x14ac:dyDescent="0.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row>
    <row r="575" spans="1:27" ht="12.75" customHeight="1" x14ac:dyDescent="0.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row>
    <row r="576" spans="1:27" ht="12.75" customHeight="1" x14ac:dyDescent="0.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row>
    <row r="577" spans="1:27" ht="12.75" customHeight="1" x14ac:dyDescent="0.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row>
    <row r="578" spans="1:27" ht="12.75" customHeight="1" x14ac:dyDescent="0.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row>
    <row r="579" spans="1:27" ht="12.75" customHeight="1" x14ac:dyDescent="0.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row>
    <row r="580" spans="1:27" ht="12.75" customHeight="1" x14ac:dyDescent="0.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row>
    <row r="581" spans="1:27" ht="12.75" customHeight="1" x14ac:dyDescent="0.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row>
    <row r="582" spans="1:27" ht="12.75" customHeight="1" x14ac:dyDescent="0.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row>
    <row r="583" spans="1:27" ht="12.75" customHeight="1" x14ac:dyDescent="0.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row>
    <row r="584" spans="1:27" ht="12.75" customHeight="1" x14ac:dyDescent="0.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row>
    <row r="585" spans="1:27" ht="12.75" customHeight="1" x14ac:dyDescent="0.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row>
    <row r="586" spans="1:27" ht="12.75" customHeight="1" x14ac:dyDescent="0.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row>
    <row r="587" spans="1:27" ht="12.75" customHeight="1" x14ac:dyDescent="0.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row>
    <row r="588" spans="1:27" ht="12.75" customHeight="1" x14ac:dyDescent="0.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row>
    <row r="589" spans="1:27" ht="12.75" customHeight="1" x14ac:dyDescent="0.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row>
    <row r="590" spans="1:27" ht="12.75" customHeight="1" x14ac:dyDescent="0.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row>
    <row r="591" spans="1:27" ht="12.75" customHeight="1" x14ac:dyDescent="0.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row>
    <row r="592" spans="1:27" ht="12.75" customHeight="1" x14ac:dyDescent="0.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row>
    <row r="593" spans="1:27" ht="12.75" customHeight="1" x14ac:dyDescent="0.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row>
    <row r="594" spans="1:27" ht="12.75" customHeight="1" x14ac:dyDescent="0.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row>
    <row r="595" spans="1:27" ht="12.75" customHeight="1" x14ac:dyDescent="0.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row>
    <row r="596" spans="1:27" ht="12.75" customHeight="1" x14ac:dyDescent="0.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row>
    <row r="597" spans="1:27" ht="12.75" customHeight="1" x14ac:dyDescent="0.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row>
    <row r="598" spans="1:27" ht="12.75" customHeight="1" x14ac:dyDescent="0.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row>
    <row r="599" spans="1:27" ht="12.75" customHeight="1" x14ac:dyDescent="0.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row>
    <row r="600" spans="1:27" ht="12.75" customHeight="1" x14ac:dyDescent="0.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row>
    <row r="601" spans="1:27" ht="12.75" customHeight="1" x14ac:dyDescent="0.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row>
    <row r="602" spans="1:27" ht="12.75" customHeight="1" x14ac:dyDescent="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row>
    <row r="603" spans="1:27" ht="12.75" customHeight="1" x14ac:dyDescent="0.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row>
    <row r="604" spans="1:27" ht="12.75" customHeight="1" x14ac:dyDescent="0.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row>
    <row r="605" spans="1:27" ht="12.75" customHeight="1" x14ac:dyDescent="0.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row>
    <row r="606" spans="1:27" ht="12.75" customHeight="1" x14ac:dyDescent="0.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row>
    <row r="607" spans="1:27" ht="12.75" customHeight="1" x14ac:dyDescent="0.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row>
    <row r="608" spans="1:27" ht="12.75" customHeight="1" x14ac:dyDescent="0.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row>
    <row r="609" spans="1:27" ht="12.75" customHeight="1" x14ac:dyDescent="0.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row>
    <row r="610" spans="1:27" ht="12.75" customHeight="1" x14ac:dyDescent="0.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row>
    <row r="611" spans="1:27" ht="12.75" customHeight="1" x14ac:dyDescent="0.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row>
    <row r="612" spans="1:27" ht="12.75" customHeight="1" x14ac:dyDescent="0.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row>
    <row r="613" spans="1:27" ht="12.75" customHeight="1" x14ac:dyDescent="0.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row>
    <row r="614" spans="1:27" ht="12.75" customHeight="1" x14ac:dyDescent="0.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row>
    <row r="615" spans="1:27" ht="12.75" customHeight="1" x14ac:dyDescent="0.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row>
    <row r="616" spans="1:27" ht="12.75" customHeight="1" x14ac:dyDescent="0.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row>
    <row r="617" spans="1:27" ht="12.75" customHeight="1" x14ac:dyDescent="0.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row>
    <row r="618" spans="1:27" ht="12.75" customHeight="1" x14ac:dyDescent="0.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row>
    <row r="619" spans="1:27" ht="12.75" customHeight="1" x14ac:dyDescent="0.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row>
    <row r="620" spans="1:27" ht="12.75" customHeight="1" x14ac:dyDescent="0.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row>
    <row r="621" spans="1:27" ht="12.75" customHeight="1" x14ac:dyDescent="0.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row>
    <row r="622" spans="1:27" ht="12.75" customHeight="1" x14ac:dyDescent="0.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row>
    <row r="623" spans="1:27" ht="12.75" customHeight="1" x14ac:dyDescent="0.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row>
    <row r="624" spans="1:27" ht="12.75" customHeight="1" x14ac:dyDescent="0.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row>
    <row r="625" spans="1:27" ht="12.75" customHeight="1" x14ac:dyDescent="0.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row>
    <row r="626" spans="1:27" ht="12.75" customHeight="1" x14ac:dyDescent="0.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row>
    <row r="627" spans="1:27" ht="12.75" customHeight="1" x14ac:dyDescent="0.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row>
    <row r="628" spans="1:27" ht="12.75" customHeight="1" x14ac:dyDescent="0.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row>
    <row r="629" spans="1:27" ht="12.75" customHeight="1" x14ac:dyDescent="0.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row>
    <row r="630" spans="1:27" ht="12.75" customHeight="1" x14ac:dyDescent="0.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row>
    <row r="631" spans="1:27" ht="12.75" customHeight="1" x14ac:dyDescent="0.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row>
    <row r="632" spans="1:27" ht="12.75" customHeight="1" x14ac:dyDescent="0.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row>
    <row r="633" spans="1:27" ht="12.75" customHeight="1" x14ac:dyDescent="0.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row>
    <row r="634" spans="1:27" ht="12.75" customHeight="1" x14ac:dyDescent="0.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row>
    <row r="635" spans="1:27" ht="12.75" customHeight="1" x14ac:dyDescent="0.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row>
    <row r="636" spans="1:27" ht="12.75" customHeight="1" x14ac:dyDescent="0.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row>
    <row r="637" spans="1:27" ht="12.75" customHeight="1" x14ac:dyDescent="0.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row>
    <row r="638" spans="1:27" ht="12.75" customHeight="1" x14ac:dyDescent="0.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row>
    <row r="639" spans="1:27" ht="12.75" customHeight="1" x14ac:dyDescent="0.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row>
    <row r="640" spans="1:27" ht="12.75" customHeight="1" x14ac:dyDescent="0.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row>
    <row r="641" spans="1:27" ht="12.75" customHeight="1" x14ac:dyDescent="0.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row>
    <row r="642" spans="1:27" ht="12.75" customHeight="1" x14ac:dyDescent="0.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row>
    <row r="643" spans="1:27" ht="12.75" customHeight="1" x14ac:dyDescent="0.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row>
    <row r="644" spans="1:27" ht="12.75" customHeight="1" x14ac:dyDescent="0.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row>
    <row r="645" spans="1:27" ht="12.75" customHeight="1" x14ac:dyDescent="0.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row>
    <row r="646" spans="1:27" ht="12.75" customHeight="1" x14ac:dyDescent="0.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row>
    <row r="647" spans="1:27" ht="12.75" customHeight="1" x14ac:dyDescent="0.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row>
    <row r="648" spans="1:27" ht="12.75" customHeight="1" x14ac:dyDescent="0.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row>
    <row r="649" spans="1:27" ht="12.75" customHeight="1" x14ac:dyDescent="0.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row>
    <row r="650" spans="1:27" ht="12.75" customHeight="1" x14ac:dyDescent="0.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row>
    <row r="651" spans="1:27" ht="12.75" customHeight="1" x14ac:dyDescent="0.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row>
    <row r="652" spans="1:27" ht="12.75" customHeight="1" x14ac:dyDescent="0.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row>
    <row r="653" spans="1:27" ht="12.75" customHeight="1" x14ac:dyDescent="0.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row>
    <row r="654" spans="1:27" ht="12.75" customHeight="1" x14ac:dyDescent="0.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row>
    <row r="655" spans="1:27" ht="12.75" customHeight="1" x14ac:dyDescent="0.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row>
    <row r="656" spans="1:27" ht="12.75" customHeight="1" x14ac:dyDescent="0.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row>
    <row r="657" spans="1:27" ht="12.75" customHeight="1" x14ac:dyDescent="0.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row>
    <row r="658" spans="1:27" ht="12.75" customHeight="1" x14ac:dyDescent="0.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row>
    <row r="659" spans="1:27" ht="12.75" customHeight="1" x14ac:dyDescent="0.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row>
    <row r="660" spans="1:27" ht="12.75" customHeight="1" x14ac:dyDescent="0.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row>
    <row r="661" spans="1:27" ht="12.75" customHeight="1" x14ac:dyDescent="0.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row>
    <row r="662" spans="1:27" ht="12.75" customHeight="1" x14ac:dyDescent="0.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row>
    <row r="663" spans="1:27" ht="12.75" customHeight="1" x14ac:dyDescent="0.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row>
    <row r="664" spans="1:27" ht="12.75" customHeight="1" x14ac:dyDescent="0.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row>
    <row r="665" spans="1:27" ht="12.75" customHeight="1" x14ac:dyDescent="0.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row>
    <row r="666" spans="1:27" ht="12.75" customHeight="1" x14ac:dyDescent="0.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row>
    <row r="667" spans="1:27" ht="12.75" customHeight="1" x14ac:dyDescent="0.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row>
    <row r="668" spans="1:27" ht="12.75" customHeight="1" x14ac:dyDescent="0.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row>
    <row r="669" spans="1:27" ht="12.75" customHeight="1" x14ac:dyDescent="0.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row>
    <row r="670" spans="1:27" ht="12.75" customHeight="1" x14ac:dyDescent="0.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row>
    <row r="671" spans="1:27" ht="12.75" customHeight="1" x14ac:dyDescent="0.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row>
    <row r="672" spans="1:27" ht="12.75" customHeight="1" x14ac:dyDescent="0.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row>
    <row r="673" spans="1:27" ht="12.75" customHeight="1" x14ac:dyDescent="0.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row>
    <row r="674" spans="1:27" ht="12.75" customHeight="1" x14ac:dyDescent="0.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row>
    <row r="675" spans="1:27" ht="12.75" customHeight="1" x14ac:dyDescent="0.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row>
    <row r="676" spans="1:27" ht="12.75" customHeight="1" x14ac:dyDescent="0.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row>
    <row r="677" spans="1:27" ht="12.75" customHeight="1" x14ac:dyDescent="0.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row>
    <row r="678" spans="1:27" ht="12.75" customHeight="1" x14ac:dyDescent="0.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row>
    <row r="679" spans="1:27" ht="12.75" customHeight="1" x14ac:dyDescent="0.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row>
    <row r="680" spans="1:27" ht="12.75" customHeight="1" x14ac:dyDescent="0.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row>
    <row r="681" spans="1:27" ht="12.75" customHeight="1" x14ac:dyDescent="0.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row>
    <row r="682" spans="1:27" ht="12.75" customHeight="1" x14ac:dyDescent="0.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row>
    <row r="683" spans="1:27" ht="12.75" customHeight="1" x14ac:dyDescent="0.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row>
    <row r="684" spans="1:27" ht="12.75" customHeight="1" x14ac:dyDescent="0.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row>
    <row r="685" spans="1:27" ht="12.75" customHeight="1" x14ac:dyDescent="0.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row>
    <row r="686" spans="1:27" ht="12.75" customHeight="1" x14ac:dyDescent="0.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row>
    <row r="687" spans="1:27" ht="12.75" customHeight="1" x14ac:dyDescent="0.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row>
    <row r="688" spans="1:27" ht="12.75" customHeight="1" x14ac:dyDescent="0.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row>
    <row r="689" spans="1:27" ht="12.75" customHeight="1" x14ac:dyDescent="0.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row>
    <row r="690" spans="1:27" ht="12.75" customHeight="1" x14ac:dyDescent="0.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row>
    <row r="691" spans="1:27" ht="12.75" customHeight="1" x14ac:dyDescent="0.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row>
    <row r="692" spans="1:27" ht="12.75" customHeight="1" x14ac:dyDescent="0.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row>
    <row r="693" spans="1:27" ht="12.75" customHeight="1" x14ac:dyDescent="0.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row>
    <row r="694" spans="1:27" ht="12.75" customHeight="1" x14ac:dyDescent="0.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row>
    <row r="695" spans="1:27" ht="12.75" customHeight="1" x14ac:dyDescent="0.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row>
    <row r="696" spans="1:27" ht="12.75" customHeight="1" x14ac:dyDescent="0.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row>
    <row r="697" spans="1:27" ht="12.75" customHeight="1" x14ac:dyDescent="0.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row>
    <row r="698" spans="1:27" ht="12.75" customHeight="1" x14ac:dyDescent="0.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row>
    <row r="699" spans="1:27" ht="12.75" customHeight="1" x14ac:dyDescent="0.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row>
    <row r="700" spans="1:27" ht="12.75" customHeight="1" x14ac:dyDescent="0.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row>
    <row r="701" spans="1:27" ht="12.75" customHeight="1" x14ac:dyDescent="0.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row>
    <row r="702" spans="1:27" ht="12.75" customHeight="1" x14ac:dyDescent="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row>
    <row r="703" spans="1:27" ht="12.75" customHeight="1" x14ac:dyDescent="0.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row>
    <row r="704" spans="1:27" ht="12.75" customHeight="1" x14ac:dyDescent="0.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row>
    <row r="705" spans="1:27" ht="12.75" customHeight="1" x14ac:dyDescent="0.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row>
    <row r="706" spans="1:27" ht="12.75" customHeight="1" x14ac:dyDescent="0.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row>
    <row r="707" spans="1:27" ht="12.75" customHeight="1" x14ac:dyDescent="0.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row>
    <row r="708" spans="1:27" ht="12.75" customHeight="1" x14ac:dyDescent="0.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row>
    <row r="709" spans="1:27" ht="12.75" customHeight="1" x14ac:dyDescent="0.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row>
    <row r="710" spans="1:27" ht="12.75" customHeight="1" x14ac:dyDescent="0.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row>
    <row r="711" spans="1:27" ht="12.75" customHeight="1" x14ac:dyDescent="0.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row>
    <row r="712" spans="1:27" ht="12.75" customHeight="1" x14ac:dyDescent="0.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row>
    <row r="713" spans="1:27" ht="12.75" customHeight="1" x14ac:dyDescent="0.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row>
    <row r="714" spans="1:27" ht="12.75" customHeight="1" x14ac:dyDescent="0.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row>
    <row r="715" spans="1:27" ht="12.75" customHeight="1" x14ac:dyDescent="0.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row>
    <row r="716" spans="1:27" ht="12.75" customHeight="1" x14ac:dyDescent="0.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row>
    <row r="717" spans="1:27" ht="12.75" customHeight="1" x14ac:dyDescent="0.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row>
    <row r="718" spans="1:27" ht="12.75" customHeight="1" x14ac:dyDescent="0.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row>
    <row r="719" spans="1:27" ht="12.75" customHeight="1" x14ac:dyDescent="0.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row>
    <row r="720" spans="1:27" ht="12.75" customHeight="1" x14ac:dyDescent="0.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row>
    <row r="721" spans="1:27" ht="12.75" customHeight="1" x14ac:dyDescent="0.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row>
    <row r="722" spans="1:27" ht="12.75" customHeight="1" x14ac:dyDescent="0.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row>
    <row r="723" spans="1:27" ht="12.75" customHeight="1" x14ac:dyDescent="0.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row>
    <row r="724" spans="1:27" ht="12.75" customHeight="1" x14ac:dyDescent="0.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row>
    <row r="725" spans="1:27" ht="12.75" customHeight="1" x14ac:dyDescent="0.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row>
    <row r="726" spans="1:27" ht="12.75" customHeight="1" x14ac:dyDescent="0.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row>
    <row r="727" spans="1:27" ht="12.75" customHeight="1" x14ac:dyDescent="0.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row>
    <row r="728" spans="1:27" ht="12.75" customHeight="1" x14ac:dyDescent="0.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row>
    <row r="729" spans="1:27" ht="12.75" customHeight="1" x14ac:dyDescent="0.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row>
    <row r="730" spans="1:27" ht="12.75" customHeight="1" x14ac:dyDescent="0.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row>
    <row r="731" spans="1:27" ht="12.75" customHeight="1" x14ac:dyDescent="0.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row>
    <row r="732" spans="1:27" ht="12.75" customHeight="1" x14ac:dyDescent="0.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row>
    <row r="733" spans="1:27" ht="12.75" customHeight="1" x14ac:dyDescent="0.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row>
    <row r="734" spans="1:27" ht="12.75" customHeight="1" x14ac:dyDescent="0.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row>
    <row r="735" spans="1:27" ht="12.75" customHeight="1" x14ac:dyDescent="0.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row>
    <row r="736" spans="1:27" ht="12.75" customHeight="1" x14ac:dyDescent="0.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row>
    <row r="737" spans="1:27" ht="12.75" customHeight="1" x14ac:dyDescent="0.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row>
    <row r="738" spans="1:27" ht="12.75" customHeight="1" x14ac:dyDescent="0.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row>
    <row r="739" spans="1:27" ht="12.75" customHeight="1" x14ac:dyDescent="0.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row>
    <row r="740" spans="1:27" ht="12.75" customHeight="1" x14ac:dyDescent="0.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row>
    <row r="741" spans="1:27" ht="12.75" customHeight="1" x14ac:dyDescent="0.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row>
    <row r="742" spans="1:27" ht="12.75" customHeight="1" x14ac:dyDescent="0.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row>
    <row r="743" spans="1:27" ht="12.75" customHeight="1" x14ac:dyDescent="0.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row>
    <row r="744" spans="1:27" ht="12.75" customHeight="1" x14ac:dyDescent="0.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row>
    <row r="745" spans="1:27" ht="12.75" customHeight="1" x14ac:dyDescent="0.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row>
    <row r="746" spans="1:27" ht="12.75" customHeight="1" x14ac:dyDescent="0.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row>
    <row r="747" spans="1:27" ht="12.75" customHeight="1" x14ac:dyDescent="0.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row>
    <row r="748" spans="1:27" ht="12.75" customHeight="1" x14ac:dyDescent="0.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row>
    <row r="749" spans="1:27" ht="12.75" customHeight="1" x14ac:dyDescent="0.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row>
    <row r="750" spans="1:27" ht="12.75" customHeight="1" x14ac:dyDescent="0.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row>
    <row r="751" spans="1:27" ht="12.75" customHeight="1" x14ac:dyDescent="0.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row>
    <row r="752" spans="1:27" ht="12.75" customHeight="1" x14ac:dyDescent="0.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row>
    <row r="753" spans="1:27" ht="12.75" customHeight="1" x14ac:dyDescent="0.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row>
    <row r="754" spans="1:27" ht="12.75" customHeight="1" x14ac:dyDescent="0.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row>
    <row r="755" spans="1:27" ht="12.75" customHeight="1" x14ac:dyDescent="0.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row>
    <row r="756" spans="1:27" ht="12.75" customHeight="1" x14ac:dyDescent="0.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row>
    <row r="757" spans="1:27" ht="12.75" customHeight="1" x14ac:dyDescent="0.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row>
    <row r="758" spans="1:27" ht="12.75" customHeight="1" x14ac:dyDescent="0.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row>
    <row r="759" spans="1:27" ht="12.75" customHeight="1" x14ac:dyDescent="0.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row>
    <row r="760" spans="1:27" ht="12.75" customHeight="1" x14ac:dyDescent="0.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row>
    <row r="761" spans="1:27" ht="12.75" customHeight="1" x14ac:dyDescent="0.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row>
    <row r="762" spans="1:27" ht="12.75" customHeight="1" x14ac:dyDescent="0.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row>
    <row r="763" spans="1:27" ht="12.75" customHeight="1" x14ac:dyDescent="0.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row>
    <row r="764" spans="1:27" ht="12.75" customHeight="1" x14ac:dyDescent="0.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row>
    <row r="765" spans="1:27" ht="12.75" customHeight="1" x14ac:dyDescent="0.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row>
    <row r="766" spans="1:27" ht="12.75" customHeight="1" x14ac:dyDescent="0.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row>
    <row r="767" spans="1:27" ht="12.75" customHeight="1" x14ac:dyDescent="0.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row>
    <row r="768" spans="1:27" ht="12.75" customHeight="1" x14ac:dyDescent="0.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row>
    <row r="769" spans="1:27" ht="12.75" customHeight="1" x14ac:dyDescent="0.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row>
    <row r="770" spans="1:27" ht="12.75" customHeight="1" x14ac:dyDescent="0.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row>
    <row r="771" spans="1:27" ht="12.75" customHeight="1" x14ac:dyDescent="0.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row>
    <row r="772" spans="1:27" ht="12.75" customHeight="1" x14ac:dyDescent="0.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row>
    <row r="773" spans="1:27" ht="12.75" customHeight="1" x14ac:dyDescent="0.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row>
    <row r="774" spans="1:27" ht="12.75" customHeight="1" x14ac:dyDescent="0.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row>
    <row r="775" spans="1:27" ht="12.75" customHeight="1" x14ac:dyDescent="0.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row>
    <row r="776" spans="1:27" ht="12.75" customHeight="1" x14ac:dyDescent="0.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row>
    <row r="777" spans="1:27" ht="12.75" customHeight="1" x14ac:dyDescent="0.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row>
    <row r="778" spans="1:27" ht="12.75" customHeight="1" x14ac:dyDescent="0.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row>
    <row r="779" spans="1:27" ht="12.75" customHeight="1" x14ac:dyDescent="0.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row>
    <row r="780" spans="1:27" ht="12.75" customHeight="1" x14ac:dyDescent="0.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row>
    <row r="781" spans="1:27" ht="12.75" customHeight="1" x14ac:dyDescent="0.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row>
    <row r="782" spans="1:27" ht="12.75" customHeight="1" x14ac:dyDescent="0.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row>
    <row r="783" spans="1:27" ht="12.75" customHeight="1" x14ac:dyDescent="0.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row>
    <row r="784" spans="1:27" ht="12.75" customHeight="1" x14ac:dyDescent="0.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row>
    <row r="785" spans="1:27" ht="12.75" customHeight="1" x14ac:dyDescent="0.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row>
    <row r="786" spans="1:27" ht="12.75" customHeight="1" x14ac:dyDescent="0.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row>
    <row r="787" spans="1:27" ht="12.75" customHeight="1" x14ac:dyDescent="0.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row>
    <row r="788" spans="1:27" ht="12.75" customHeight="1" x14ac:dyDescent="0.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row>
    <row r="789" spans="1:27" ht="12.75" customHeight="1" x14ac:dyDescent="0.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row>
    <row r="790" spans="1:27" ht="12.75" customHeight="1" x14ac:dyDescent="0.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row>
    <row r="791" spans="1:27" ht="12.75" customHeight="1" x14ac:dyDescent="0.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row>
    <row r="792" spans="1:27" ht="12.75" customHeight="1" x14ac:dyDescent="0.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row>
    <row r="793" spans="1:27" ht="12.75" customHeight="1" x14ac:dyDescent="0.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row>
    <row r="794" spans="1:27" ht="12.75" customHeight="1" x14ac:dyDescent="0.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row>
    <row r="795" spans="1:27" ht="12.75" customHeight="1" x14ac:dyDescent="0.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row>
    <row r="796" spans="1:27" ht="12.75" customHeight="1" x14ac:dyDescent="0.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row>
    <row r="797" spans="1:27" ht="12.75" customHeight="1" x14ac:dyDescent="0.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row>
    <row r="798" spans="1:27" ht="12.75" customHeight="1" x14ac:dyDescent="0.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row>
    <row r="799" spans="1:27" ht="12.75" customHeight="1" x14ac:dyDescent="0.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row>
    <row r="800" spans="1:27" ht="12.75" customHeight="1" x14ac:dyDescent="0.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row>
    <row r="801" spans="1:27" ht="12.75" customHeight="1" x14ac:dyDescent="0.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row>
    <row r="802" spans="1:27" ht="12.75" customHeight="1" x14ac:dyDescent="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row>
    <row r="803" spans="1:27" ht="12.75" customHeight="1" x14ac:dyDescent="0.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row>
    <row r="804" spans="1:27" ht="12.75" customHeight="1" x14ac:dyDescent="0.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row>
    <row r="805" spans="1:27" ht="12.75" customHeight="1" x14ac:dyDescent="0.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row>
    <row r="806" spans="1:27" ht="12.75" customHeight="1" x14ac:dyDescent="0.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row>
    <row r="807" spans="1:27" ht="12.75" customHeight="1" x14ac:dyDescent="0.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row>
    <row r="808" spans="1:27" ht="12.75" customHeight="1" x14ac:dyDescent="0.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row>
    <row r="809" spans="1:27" ht="12.75" customHeight="1" x14ac:dyDescent="0.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row>
    <row r="810" spans="1:27" ht="12.75" customHeight="1" x14ac:dyDescent="0.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row>
    <row r="811" spans="1:27" ht="12.75" customHeight="1" x14ac:dyDescent="0.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row>
    <row r="812" spans="1:27" ht="12.75" customHeight="1" x14ac:dyDescent="0.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row>
    <row r="813" spans="1:27" ht="12.75" customHeight="1" x14ac:dyDescent="0.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row>
    <row r="814" spans="1:27" ht="12.75" customHeight="1" x14ac:dyDescent="0.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row>
    <row r="815" spans="1:27" ht="12.75" customHeight="1" x14ac:dyDescent="0.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row>
    <row r="816" spans="1:27" ht="12.75" customHeight="1" x14ac:dyDescent="0.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row>
    <row r="817" spans="1:27" ht="12.75" customHeight="1" x14ac:dyDescent="0.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row>
    <row r="818" spans="1:27" ht="12.75" customHeight="1" x14ac:dyDescent="0.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row>
    <row r="819" spans="1:27" ht="12.75" customHeight="1" x14ac:dyDescent="0.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row>
    <row r="820" spans="1:27" ht="12.75" customHeight="1" x14ac:dyDescent="0.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row>
    <row r="821" spans="1:27" ht="12.75" customHeight="1" x14ac:dyDescent="0.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row>
    <row r="822" spans="1:27" ht="12.75" customHeight="1" x14ac:dyDescent="0.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row>
    <row r="823" spans="1:27" ht="12.75" customHeight="1" x14ac:dyDescent="0.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row>
    <row r="824" spans="1:27" ht="12.75" customHeight="1" x14ac:dyDescent="0.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row>
    <row r="825" spans="1:27" ht="12.75" customHeight="1" x14ac:dyDescent="0.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row>
    <row r="826" spans="1:27" ht="12.75" customHeight="1" x14ac:dyDescent="0.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row>
    <row r="827" spans="1:27" ht="12.75" customHeight="1" x14ac:dyDescent="0.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row>
    <row r="828" spans="1:27" ht="12.75" customHeight="1" x14ac:dyDescent="0.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row>
    <row r="829" spans="1:27" ht="12.75" customHeight="1" x14ac:dyDescent="0.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row>
    <row r="830" spans="1:27" ht="12.75" customHeight="1" x14ac:dyDescent="0.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row>
    <row r="831" spans="1:27" ht="12.75" customHeight="1" x14ac:dyDescent="0.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row>
    <row r="832" spans="1:27" ht="12.75" customHeight="1" x14ac:dyDescent="0.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row>
    <row r="833" spans="1:27" ht="12.75" customHeight="1" x14ac:dyDescent="0.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row>
    <row r="834" spans="1:27" ht="12.75" customHeight="1" x14ac:dyDescent="0.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row>
    <row r="835" spans="1:27" ht="12.75" customHeight="1" x14ac:dyDescent="0.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row>
    <row r="836" spans="1:27" ht="12.75" customHeight="1" x14ac:dyDescent="0.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row>
    <row r="837" spans="1:27" ht="12.75" customHeight="1" x14ac:dyDescent="0.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row>
    <row r="838" spans="1:27" ht="12.75" customHeight="1" x14ac:dyDescent="0.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row>
    <row r="839" spans="1:27" ht="12.75" customHeight="1" x14ac:dyDescent="0.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row>
    <row r="840" spans="1:27" ht="12.75" customHeight="1" x14ac:dyDescent="0.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row>
    <row r="841" spans="1:27" ht="12.75" customHeight="1" x14ac:dyDescent="0.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row>
    <row r="842" spans="1:27" ht="12.75" customHeight="1" x14ac:dyDescent="0.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row>
    <row r="843" spans="1:27" ht="12.75" customHeight="1" x14ac:dyDescent="0.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row>
    <row r="844" spans="1:27" ht="12.75" customHeight="1" x14ac:dyDescent="0.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row>
    <row r="845" spans="1:27" ht="12.75" customHeight="1" x14ac:dyDescent="0.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row>
    <row r="846" spans="1:27" ht="12.75" customHeight="1" x14ac:dyDescent="0.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row>
    <row r="847" spans="1:27" ht="12.75" customHeight="1" x14ac:dyDescent="0.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row>
    <row r="848" spans="1:27" ht="12.75" customHeight="1" x14ac:dyDescent="0.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row>
    <row r="849" spans="1:27" ht="12.75" customHeight="1" x14ac:dyDescent="0.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row>
    <row r="850" spans="1:27" ht="12.75" customHeight="1" x14ac:dyDescent="0.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row>
    <row r="851" spans="1:27" ht="12.75" customHeight="1" x14ac:dyDescent="0.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row>
    <row r="852" spans="1:27" ht="12.75" customHeight="1" x14ac:dyDescent="0.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row>
    <row r="853" spans="1:27" ht="12.75" customHeight="1" x14ac:dyDescent="0.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row>
    <row r="854" spans="1:27" ht="12.75" customHeight="1" x14ac:dyDescent="0.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row>
    <row r="855" spans="1:27" ht="12.75" customHeight="1" x14ac:dyDescent="0.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row>
    <row r="856" spans="1:27" ht="12.75" customHeight="1" x14ac:dyDescent="0.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row>
    <row r="857" spans="1:27" ht="12.75" customHeight="1" x14ac:dyDescent="0.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row>
    <row r="858" spans="1:27" ht="12.75" customHeight="1" x14ac:dyDescent="0.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row>
    <row r="859" spans="1:27" ht="12.75" customHeight="1" x14ac:dyDescent="0.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row>
    <row r="860" spans="1:27" ht="12.75" customHeight="1" x14ac:dyDescent="0.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row>
    <row r="861" spans="1:27" ht="12.75" customHeight="1" x14ac:dyDescent="0.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row>
    <row r="862" spans="1:27" ht="12.75" customHeight="1" x14ac:dyDescent="0.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row>
    <row r="863" spans="1:27" ht="12.75" customHeight="1" x14ac:dyDescent="0.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row>
    <row r="864" spans="1:27" ht="12.75" customHeight="1" x14ac:dyDescent="0.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row>
    <row r="865" spans="1:27" ht="12.75" customHeight="1" x14ac:dyDescent="0.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row>
    <row r="866" spans="1:27" ht="12.75" customHeight="1" x14ac:dyDescent="0.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row>
    <row r="867" spans="1:27" ht="12.75" customHeight="1" x14ac:dyDescent="0.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row>
    <row r="868" spans="1:27" ht="12.75" customHeight="1" x14ac:dyDescent="0.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row>
    <row r="869" spans="1:27" ht="12.75" customHeight="1" x14ac:dyDescent="0.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row>
    <row r="870" spans="1:27" ht="12.75" customHeight="1" x14ac:dyDescent="0.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row>
    <row r="871" spans="1:27" ht="12.75" customHeight="1" x14ac:dyDescent="0.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row>
    <row r="872" spans="1:27" ht="12.75" customHeight="1" x14ac:dyDescent="0.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row>
    <row r="873" spans="1:27" ht="12.75" customHeight="1" x14ac:dyDescent="0.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row>
    <row r="874" spans="1:27" ht="12.75" customHeight="1" x14ac:dyDescent="0.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row>
    <row r="875" spans="1:27" ht="12.75" customHeight="1" x14ac:dyDescent="0.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row>
    <row r="876" spans="1:27" ht="12.75" customHeight="1" x14ac:dyDescent="0.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row>
    <row r="877" spans="1:27" ht="12.75" customHeight="1" x14ac:dyDescent="0.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row>
    <row r="878" spans="1:27" ht="12.75" customHeight="1" x14ac:dyDescent="0.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row>
    <row r="879" spans="1:27" ht="12.75" customHeight="1" x14ac:dyDescent="0.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row>
    <row r="880" spans="1:27" ht="12.75" customHeight="1" x14ac:dyDescent="0.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row>
    <row r="881" spans="1:27" ht="12.75" customHeight="1" x14ac:dyDescent="0.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row>
    <row r="882" spans="1:27" ht="12.75" customHeight="1" x14ac:dyDescent="0.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row>
    <row r="883" spans="1:27" ht="12.75" customHeight="1" x14ac:dyDescent="0.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row>
    <row r="884" spans="1:27" ht="12.75" customHeight="1" x14ac:dyDescent="0.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row>
    <row r="885" spans="1:27" ht="12.75" customHeight="1" x14ac:dyDescent="0.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row>
    <row r="886" spans="1:27" ht="12.75" customHeight="1" x14ac:dyDescent="0.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row>
    <row r="887" spans="1:27" ht="12.75" customHeight="1" x14ac:dyDescent="0.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row>
    <row r="888" spans="1:27" ht="12.75" customHeight="1" x14ac:dyDescent="0.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row>
    <row r="889" spans="1:27" ht="12.75" customHeight="1" x14ac:dyDescent="0.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row>
    <row r="890" spans="1:27" ht="12.75" customHeight="1" x14ac:dyDescent="0.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row>
    <row r="891" spans="1:27" ht="12.75" customHeight="1" x14ac:dyDescent="0.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row>
    <row r="892" spans="1:27" ht="12.75" customHeight="1" x14ac:dyDescent="0.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row>
    <row r="893" spans="1:27" ht="12.75" customHeight="1" x14ac:dyDescent="0.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row>
    <row r="894" spans="1:27" ht="12.75" customHeight="1" x14ac:dyDescent="0.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row>
    <row r="895" spans="1:27" ht="12.75" customHeight="1" x14ac:dyDescent="0.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row>
    <row r="896" spans="1:27" ht="12.75" customHeight="1" x14ac:dyDescent="0.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row>
    <row r="897" spans="1:27" ht="12.75" customHeight="1" x14ac:dyDescent="0.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row>
    <row r="898" spans="1:27" ht="12.75" customHeight="1" x14ac:dyDescent="0.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row>
    <row r="899" spans="1:27" ht="12.75" customHeight="1" x14ac:dyDescent="0.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row>
    <row r="900" spans="1:27" ht="12.75" customHeight="1" x14ac:dyDescent="0.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row>
    <row r="901" spans="1:27" ht="12.75" customHeight="1" x14ac:dyDescent="0.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row>
    <row r="902" spans="1:27" ht="12.75" customHeight="1" x14ac:dyDescent="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row>
    <row r="903" spans="1:27" ht="12.75" customHeight="1" x14ac:dyDescent="0.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row>
    <row r="904" spans="1:27" ht="12.75" customHeight="1" x14ac:dyDescent="0.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row>
    <row r="905" spans="1:27" ht="12.75" customHeight="1" x14ac:dyDescent="0.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row>
    <row r="906" spans="1:27" ht="12.75" customHeight="1" x14ac:dyDescent="0.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row>
    <row r="907" spans="1:27" ht="12.75" customHeight="1" x14ac:dyDescent="0.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row>
    <row r="908" spans="1:27" ht="12.75" customHeight="1" x14ac:dyDescent="0.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row>
    <row r="909" spans="1:27" ht="12.75" customHeight="1" x14ac:dyDescent="0.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row>
    <row r="910" spans="1:27" ht="12.75" customHeight="1" x14ac:dyDescent="0.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row>
    <row r="911" spans="1:27" ht="12.75" customHeight="1" x14ac:dyDescent="0.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row>
    <row r="912" spans="1:27" ht="12.75" customHeight="1" x14ac:dyDescent="0.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row>
    <row r="913" spans="1:27" ht="12.75" customHeight="1" x14ac:dyDescent="0.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row>
    <row r="914" spans="1:27" ht="12.75" customHeight="1" x14ac:dyDescent="0.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row>
    <row r="915" spans="1:27" ht="12.75" customHeight="1" x14ac:dyDescent="0.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row>
    <row r="916" spans="1:27" ht="12.75" customHeight="1" x14ac:dyDescent="0.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row>
    <row r="917" spans="1:27" ht="12.75" customHeight="1" x14ac:dyDescent="0.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row>
    <row r="918" spans="1:27" ht="12.75" customHeight="1" x14ac:dyDescent="0.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row>
    <row r="919" spans="1:27" ht="12.75" customHeight="1" x14ac:dyDescent="0.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row>
    <row r="920" spans="1:27" ht="12.75" customHeight="1" x14ac:dyDescent="0.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row>
    <row r="921" spans="1:27" ht="12.75" customHeight="1" x14ac:dyDescent="0.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row>
    <row r="922" spans="1:27" ht="12.75" customHeight="1" x14ac:dyDescent="0.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row>
    <row r="923" spans="1:27" ht="12.75" customHeight="1" x14ac:dyDescent="0.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row>
    <row r="924" spans="1:27" ht="12.75" customHeight="1" x14ac:dyDescent="0.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row>
    <row r="925" spans="1:27" ht="12.75" customHeight="1" x14ac:dyDescent="0.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row>
    <row r="926" spans="1:27" ht="12.75" customHeight="1" x14ac:dyDescent="0.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row>
    <row r="927" spans="1:27" ht="12.75" customHeight="1" x14ac:dyDescent="0.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row>
    <row r="928" spans="1:27" ht="12.75" customHeight="1" x14ac:dyDescent="0.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row>
    <row r="929" spans="1:27" ht="12.75" customHeight="1" x14ac:dyDescent="0.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row>
    <row r="930" spans="1:27" ht="12.75" customHeight="1" x14ac:dyDescent="0.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row>
    <row r="931" spans="1:27" ht="12.75" customHeight="1" x14ac:dyDescent="0.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row>
    <row r="932" spans="1:27" ht="12.75" customHeight="1" x14ac:dyDescent="0.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row>
    <row r="933" spans="1:27" ht="12.75" customHeight="1" x14ac:dyDescent="0.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row>
    <row r="934" spans="1:27" ht="12.75" customHeight="1" x14ac:dyDescent="0.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row>
    <row r="935" spans="1:27" ht="12.75" customHeight="1" x14ac:dyDescent="0.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row>
    <row r="936" spans="1:27" ht="12.75" customHeight="1" x14ac:dyDescent="0.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row>
    <row r="937" spans="1:27" ht="12.75" customHeight="1" x14ac:dyDescent="0.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row>
    <row r="938" spans="1:27" ht="12.75" customHeight="1" x14ac:dyDescent="0.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row>
    <row r="939" spans="1:27" ht="12.75" customHeight="1" x14ac:dyDescent="0.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row>
    <row r="940" spans="1:27" ht="12.75" customHeight="1" x14ac:dyDescent="0.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row>
    <row r="941" spans="1:27" ht="12.75" customHeight="1" x14ac:dyDescent="0.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row>
    <row r="942" spans="1:27" ht="12.75" customHeight="1" x14ac:dyDescent="0.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row>
    <row r="943" spans="1:27" ht="12.75" customHeight="1" x14ac:dyDescent="0.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row>
    <row r="944" spans="1:27" ht="12.75" customHeight="1" x14ac:dyDescent="0.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row>
    <row r="945" spans="1:27" ht="12.75" customHeight="1" x14ac:dyDescent="0.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row>
    <row r="946" spans="1:27" ht="12.75" customHeight="1" x14ac:dyDescent="0.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row>
    <row r="947" spans="1:27" ht="12.75" customHeight="1" x14ac:dyDescent="0.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row>
    <row r="948" spans="1:27" ht="12.75" customHeight="1" x14ac:dyDescent="0.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row>
    <row r="949" spans="1:27" ht="12.75" customHeight="1" x14ac:dyDescent="0.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row>
    <row r="950" spans="1:27" ht="12.75" customHeight="1" x14ac:dyDescent="0.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row>
    <row r="951" spans="1:27" ht="12.75" customHeight="1" x14ac:dyDescent="0.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row>
    <row r="952" spans="1:27" ht="12.75" customHeight="1" x14ac:dyDescent="0.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row>
    <row r="953" spans="1:27" ht="12.75" customHeight="1" x14ac:dyDescent="0.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row>
    <row r="954" spans="1:27" ht="12.75" customHeight="1" x14ac:dyDescent="0.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row>
    <row r="955" spans="1:27" ht="12.75" customHeight="1" x14ac:dyDescent="0.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row>
    <row r="956" spans="1:27" ht="12.75" customHeight="1" x14ac:dyDescent="0.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row>
    <row r="957" spans="1:27" ht="12.75" customHeight="1" x14ac:dyDescent="0.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row>
    <row r="958" spans="1:27" ht="12.75" customHeight="1" x14ac:dyDescent="0.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row>
    <row r="959" spans="1:27" ht="12.75" customHeight="1" x14ac:dyDescent="0.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row>
    <row r="960" spans="1:27" ht="12.75" customHeight="1" x14ac:dyDescent="0.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row>
    <row r="961" spans="1:27" ht="12.75" customHeight="1" x14ac:dyDescent="0.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row>
    <row r="962" spans="1:27" ht="12.75" customHeight="1" x14ac:dyDescent="0.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row>
    <row r="963" spans="1:27" ht="12.75" customHeight="1" x14ac:dyDescent="0.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row>
    <row r="964" spans="1:27" ht="12.75" customHeight="1" x14ac:dyDescent="0.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row>
    <row r="965" spans="1:27" ht="12.75" customHeight="1" x14ac:dyDescent="0.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row>
    <row r="966" spans="1:27" ht="12.75" customHeight="1" x14ac:dyDescent="0.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row>
    <row r="967" spans="1:27" ht="12.75" customHeight="1" x14ac:dyDescent="0.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row>
    <row r="968" spans="1:27" ht="12.75" customHeight="1" x14ac:dyDescent="0.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row>
    <row r="969" spans="1:27" ht="12.75" customHeight="1" x14ac:dyDescent="0.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row>
    <row r="970" spans="1:27" ht="12.75" customHeight="1" x14ac:dyDescent="0.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row>
    <row r="971" spans="1:27" ht="12.75" customHeight="1" x14ac:dyDescent="0.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row>
    <row r="972" spans="1:27" ht="12.75" customHeight="1" x14ac:dyDescent="0.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row>
    <row r="973" spans="1:27" ht="12.75" customHeight="1" x14ac:dyDescent="0.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row>
    <row r="974" spans="1:27" ht="12.75" customHeight="1" x14ac:dyDescent="0.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row>
    <row r="975" spans="1:27" ht="12.75" customHeight="1" x14ac:dyDescent="0.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row>
    <row r="976" spans="1:27" ht="12.75" customHeight="1" x14ac:dyDescent="0.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row>
    <row r="977" spans="1:27" ht="12.75" customHeight="1" x14ac:dyDescent="0.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row>
    <row r="978" spans="1:27" ht="12.75" customHeight="1" x14ac:dyDescent="0.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row>
    <row r="979" spans="1:27" ht="12.75" customHeight="1" x14ac:dyDescent="0.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row>
    <row r="980" spans="1:27" ht="12.75" customHeight="1" x14ac:dyDescent="0.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row>
    <row r="981" spans="1:27" ht="12.75" customHeight="1" x14ac:dyDescent="0.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row>
    <row r="982" spans="1:27" ht="12.75" customHeight="1" x14ac:dyDescent="0.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row>
    <row r="983" spans="1:27" ht="12.75" customHeight="1" x14ac:dyDescent="0.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row>
    <row r="984" spans="1:27" ht="12.75" customHeight="1" x14ac:dyDescent="0.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row>
    <row r="985" spans="1:27" ht="12.75" customHeight="1" x14ac:dyDescent="0.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row>
    <row r="986" spans="1:27" ht="12.75" customHeight="1" x14ac:dyDescent="0.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row>
    <row r="987" spans="1:27" ht="12.75" customHeight="1" x14ac:dyDescent="0.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row>
    <row r="988" spans="1:27" ht="12.75" customHeight="1" x14ac:dyDescent="0.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row>
    <row r="989" spans="1:27" ht="12.75" customHeight="1" x14ac:dyDescent="0.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row>
    <row r="990" spans="1:27" ht="12.75" customHeight="1" x14ac:dyDescent="0.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row>
    <row r="991" spans="1:27" ht="12.75" customHeight="1" x14ac:dyDescent="0.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row>
    <row r="992" spans="1:27" ht="12.75" customHeight="1" x14ac:dyDescent="0.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row>
    <row r="993" spans="1:27" ht="12.75" customHeight="1" x14ac:dyDescent="0.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row>
    <row r="994" spans="1:27" ht="12.75" customHeight="1" x14ac:dyDescent="0.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row>
    <row r="995" spans="1:27" ht="12.75" customHeight="1" x14ac:dyDescent="0.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row>
    <row r="996" spans="1:27" ht="12.75" customHeight="1" x14ac:dyDescent="0.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row>
    <row r="997" spans="1:27" ht="12.75" customHeight="1" x14ac:dyDescent="0.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row>
    <row r="998" spans="1:27" ht="12.75" customHeight="1" x14ac:dyDescent="0.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row>
  </sheetData>
  <mergeCells count="9">
    <mergeCell ref="A18:D18"/>
    <mergeCell ref="A5:I6"/>
    <mergeCell ref="A7:A8"/>
    <mergeCell ref="B7:B8"/>
    <mergeCell ref="C7:C8"/>
    <mergeCell ref="D7:D8"/>
    <mergeCell ref="E7:E8"/>
    <mergeCell ref="G7:H7"/>
    <mergeCell ref="I7:I8"/>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98"/>
  <sheetViews>
    <sheetView showGridLines="0" workbookViewId="0">
      <pane ySplit="8" topLeftCell="A9" activePane="bottomLeft" state="frozen"/>
      <selection pane="bottomLeft" activeCell="D10" sqref="D10"/>
    </sheetView>
    <sheetView workbookViewId="1"/>
  </sheetViews>
  <sheetFormatPr defaultColWidth="0" defaultRowHeight="15" customHeight="1" x14ac:dyDescent="0.2"/>
  <cols>
    <col min="1" max="1" width="21.42578125" customWidth="1"/>
    <col min="2" max="2" width="24.28515625" customWidth="1"/>
    <col min="3" max="3" width="11" customWidth="1"/>
    <col min="4" max="4" width="13.7109375" customWidth="1"/>
    <col min="5" max="5" width="13.28515625" customWidth="1"/>
    <col min="6" max="6" width="35.28515625" customWidth="1"/>
    <col min="7" max="7" width="9.5703125" customWidth="1"/>
    <col min="8" max="8" width="7.7109375" customWidth="1"/>
    <col min="9" max="10" width="14.28515625" customWidth="1"/>
    <col min="11" max="18" width="14.28515625" hidden="1" customWidth="1"/>
    <col min="19" max="28" width="10" hidden="1" customWidth="1"/>
    <col min="29" max="16384" width="12.42578125" hidden="1"/>
  </cols>
  <sheetData>
    <row r="1" spans="1:27" ht="15" customHeight="1" x14ac:dyDescent="0.2">
      <c r="A1" s="196" t="str">
        <f>'RESUMEN GENERAL'!A3</f>
        <v xml:space="preserve">Título del proyecto:   </v>
      </c>
      <c r="B1" t="str" cm="1">
        <f t="array" ref="B1:J1">'RESUMEN GENERAL'!B3:J3</f>
        <v xml:space="preserve">Funciones evolutivas del habla dirigida a bebés: Impacto en la atención, las preferencias auditivas y el desarrollo lingüístico y musical temprano </v>
      </c>
      <c r="C1" s="159">
        <v>0</v>
      </c>
      <c r="D1" s="159">
        <v>0</v>
      </c>
      <c r="E1" s="159">
        <v>0</v>
      </c>
      <c r="F1" s="159">
        <v>0</v>
      </c>
      <c r="G1" s="159">
        <v>0</v>
      </c>
      <c r="H1" s="159">
        <v>0</v>
      </c>
      <c r="I1" s="159">
        <v>0</v>
      </c>
      <c r="J1" s="159">
        <v>0</v>
      </c>
    </row>
    <row r="2" spans="1:27" ht="15" customHeight="1" x14ac:dyDescent="0.2">
      <c r="A2" s="196" t="str">
        <f>'RESUMEN GENERAL'!A4</f>
        <v xml:space="preserve">Investigador Principal: </v>
      </c>
      <c r="B2" t="str" cm="1">
        <f t="array" ref="B2:J2">'RESUMEN GENERAL'!B4:J4</f>
        <v>Juan David Leongómez Peña</v>
      </c>
      <c r="C2" s="159">
        <v>0</v>
      </c>
      <c r="D2" s="159">
        <v>0</v>
      </c>
      <c r="E2" s="159">
        <v>0</v>
      </c>
      <c r="F2" s="159">
        <v>0</v>
      </c>
      <c r="G2" s="159">
        <v>0</v>
      </c>
      <c r="H2" s="159">
        <v>0</v>
      </c>
      <c r="I2" s="159">
        <v>0</v>
      </c>
      <c r="J2" s="159">
        <v>0</v>
      </c>
    </row>
    <row r="4" spans="1:27" ht="15" customHeight="1" x14ac:dyDescent="0.2">
      <c r="A4" s="77" t="s">
        <v>136</v>
      </c>
      <c r="B4" s="70"/>
      <c r="C4" s="70"/>
      <c r="D4" s="70"/>
      <c r="E4" s="70"/>
      <c r="F4" s="70"/>
      <c r="G4" s="70"/>
      <c r="H4" s="70"/>
      <c r="I4" s="70"/>
    </row>
    <row r="5" spans="1:27" ht="15" customHeight="1" x14ac:dyDescent="0.2">
      <c r="A5" s="301" t="s">
        <v>140</v>
      </c>
      <c r="B5" s="301"/>
      <c r="C5" s="301"/>
      <c r="D5" s="301"/>
      <c r="E5" s="301"/>
      <c r="F5" s="301"/>
      <c r="G5" s="301"/>
      <c r="H5" s="301"/>
      <c r="I5" s="301"/>
    </row>
    <row r="6" spans="1:27" ht="42.75" customHeight="1" x14ac:dyDescent="0.2">
      <c r="A6" s="302"/>
      <c r="B6" s="302"/>
      <c r="C6" s="302"/>
      <c r="D6" s="302"/>
      <c r="E6" s="302"/>
      <c r="F6" s="302"/>
      <c r="G6" s="302"/>
      <c r="H6" s="302"/>
      <c r="I6" s="302"/>
    </row>
    <row r="7" spans="1:27" ht="43.5" customHeight="1" x14ac:dyDescent="0.2">
      <c r="A7" s="269" t="s">
        <v>126</v>
      </c>
      <c r="B7" s="269" t="s">
        <v>91</v>
      </c>
      <c r="C7" s="269" t="s">
        <v>92</v>
      </c>
      <c r="D7" s="269" t="s">
        <v>93</v>
      </c>
      <c r="E7" s="269" t="s">
        <v>54</v>
      </c>
      <c r="F7" s="25" t="s">
        <v>32</v>
      </c>
      <c r="G7" s="271" t="s">
        <v>69</v>
      </c>
      <c r="H7" s="272"/>
      <c r="I7" s="269" t="s">
        <v>36</v>
      </c>
    </row>
    <row r="8" spans="1:27" ht="12.75" customHeight="1" x14ac:dyDescent="0.2">
      <c r="A8" s="270"/>
      <c r="B8" s="270"/>
      <c r="C8" s="270"/>
      <c r="D8" s="270"/>
      <c r="E8" s="270"/>
      <c r="F8" s="49" t="s">
        <v>94</v>
      </c>
      <c r="G8" s="1" t="s">
        <v>41</v>
      </c>
      <c r="H8" s="1" t="s">
        <v>40</v>
      </c>
      <c r="I8" s="270"/>
      <c r="J8" s="63"/>
      <c r="K8" s="63"/>
      <c r="L8" s="63"/>
      <c r="M8" s="63"/>
      <c r="N8" s="63"/>
      <c r="O8" s="63"/>
      <c r="P8" s="63"/>
      <c r="Q8" s="63"/>
      <c r="R8" s="63"/>
      <c r="S8" s="63"/>
      <c r="T8" s="63"/>
      <c r="U8" s="63"/>
      <c r="V8" s="63"/>
      <c r="W8" s="63"/>
      <c r="X8" s="63"/>
      <c r="Y8" s="63"/>
      <c r="Z8" s="63"/>
      <c r="AA8" s="63"/>
    </row>
    <row r="9" spans="1:27" ht="178.5" x14ac:dyDescent="0.2">
      <c r="A9" s="9" t="s">
        <v>209</v>
      </c>
      <c r="B9" s="9" t="s">
        <v>210</v>
      </c>
      <c r="C9" s="10">
        <v>1</v>
      </c>
      <c r="D9" s="34">
        <v>5000000</v>
      </c>
      <c r="E9" s="35">
        <f t="shared" ref="E9:E10" si="0">+D9*C9</f>
        <v>5000000</v>
      </c>
      <c r="F9" s="12">
        <f>E9</f>
        <v>5000000</v>
      </c>
      <c r="G9" s="12"/>
      <c r="H9" s="12"/>
      <c r="I9" s="35">
        <f t="shared" ref="I9:I18" si="1">SUM(F9:H9)</f>
        <v>5000000</v>
      </c>
      <c r="J9" s="78"/>
      <c r="K9" s="78"/>
      <c r="L9" s="78"/>
      <c r="M9" s="78"/>
      <c r="N9" s="78"/>
      <c r="O9" s="78"/>
      <c r="P9" s="78"/>
      <c r="Q9" s="78"/>
      <c r="R9" s="78"/>
      <c r="S9" s="78"/>
      <c r="T9" s="78"/>
      <c r="U9" s="78"/>
      <c r="V9" s="78"/>
      <c r="W9" s="78"/>
      <c r="X9" s="78"/>
      <c r="Y9" s="78"/>
      <c r="Z9" s="78"/>
      <c r="AA9" s="78"/>
    </row>
    <row r="10" spans="1:27" ht="153" x14ac:dyDescent="0.2">
      <c r="A10" s="9" t="s">
        <v>211</v>
      </c>
      <c r="B10" s="9" t="s">
        <v>212</v>
      </c>
      <c r="C10" s="10">
        <v>2</v>
      </c>
      <c r="D10" s="34">
        <v>3000000</v>
      </c>
      <c r="E10" s="35">
        <f t="shared" si="0"/>
        <v>6000000</v>
      </c>
      <c r="F10" s="12">
        <f t="shared" ref="F10" si="2">E10</f>
        <v>6000000</v>
      </c>
      <c r="G10" s="12"/>
      <c r="H10" s="12"/>
      <c r="I10" s="35">
        <f t="shared" si="1"/>
        <v>6000000</v>
      </c>
      <c r="J10" s="78"/>
      <c r="K10" s="78"/>
      <c r="L10" s="78"/>
      <c r="M10" s="78"/>
      <c r="N10" s="78"/>
      <c r="O10" s="78"/>
      <c r="P10" s="78"/>
      <c r="Q10" s="78"/>
      <c r="R10" s="78"/>
      <c r="S10" s="78"/>
      <c r="T10" s="78"/>
      <c r="U10" s="78"/>
      <c r="V10" s="78"/>
      <c r="W10" s="78"/>
      <c r="X10" s="78"/>
      <c r="Y10" s="78"/>
      <c r="Z10" s="78"/>
      <c r="AA10" s="78"/>
    </row>
    <row r="11" spans="1:27" ht="12.75" customHeight="1" x14ac:dyDescent="0.2">
      <c r="A11" s="10"/>
      <c r="B11" s="9"/>
      <c r="C11" s="9"/>
      <c r="D11" s="8"/>
      <c r="E11" s="35">
        <f t="shared" ref="E9:E17" si="3">+D11*C11</f>
        <v>0</v>
      </c>
      <c r="F11" s="12"/>
      <c r="G11" s="12"/>
      <c r="H11" s="12"/>
      <c r="I11" s="35">
        <f t="shared" si="1"/>
        <v>0</v>
      </c>
      <c r="J11" s="78"/>
      <c r="K11" s="78"/>
      <c r="L11" s="78"/>
      <c r="M11" s="78"/>
      <c r="N11" s="78"/>
      <c r="O11" s="78"/>
      <c r="P11" s="78"/>
      <c r="Q11" s="78"/>
      <c r="R11" s="78"/>
      <c r="S11" s="78"/>
      <c r="T11" s="78"/>
      <c r="U11" s="78"/>
      <c r="V11" s="78"/>
      <c r="W11" s="78"/>
      <c r="X11" s="78"/>
      <c r="Y11" s="78"/>
      <c r="Z11" s="78"/>
      <c r="AA11" s="78"/>
    </row>
    <row r="12" spans="1:27" ht="12.75" customHeight="1" x14ac:dyDescent="0.2">
      <c r="A12" s="10"/>
      <c r="B12" s="9"/>
      <c r="C12" s="9"/>
      <c r="D12" s="8"/>
      <c r="E12" s="35">
        <f t="shared" si="3"/>
        <v>0</v>
      </c>
      <c r="F12" s="12"/>
      <c r="G12" s="12"/>
      <c r="H12" s="12"/>
      <c r="I12" s="35">
        <f t="shared" si="1"/>
        <v>0</v>
      </c>
      <c r="J12" s="78"/>
      <c r="K12" s="78"/>
      <c r="L12" s="78"/>
      <c r="M12" s="78"/>
      <c r="N12" s="78"/>
      <c r="O12" s="78"/>
      <c r="P12" s="78"/>
      <c r="Q12" s="78"/>
      <c r="R12" s="78"/>
      <c r="S12" s="78"/>
      <c r="T12" s="78"/>
      <c r="U12" s="78"/>
      <c r="V12" s="78"/>
      <c r="W12" s="78"/>
      <c r="X12" s="78"/>
      <c r="Y12" s="78"/>
      <c r="Z12" s="78"/>
      <c r="AA12" s="78"/>
    </row>
    <row r="13" spans="1:27" ht="12.75" customHeight="1" x14ac:dyDescent="0.2">
      <c r="A13" s="10"/>
      <c r="B13" s="9"/>
      <c r="C13" s="9"/>
      <c r="D13" s="8"/>
      <c r="E13" s="35">
        <f t="shared" si="3"/>
        <v>0</v>
      </c>
      <c r="F13" s="12"/>
      <c r="G13" s="12"/>
      <c r="H13" s="12"/>
      <c r="I13" s="35">
        <f t="shared" si="1"/>
        <v>0</v>
      </c>
      <c r="J13" s="78"/>
      <c r="K13" s="78"/>
      <c r="L13" s="78"/>
      <c r="M13" s="78"/>
      <c r="N13" s="78"/>
      <c r="O13" s="78"/>
      <c r="P13" s="78"/>
      <c r="Q13" s="78"/>
      <c r="R13" s="78"/>
      <c r="S13" s="78"/>
      <c r="T13" s="78"/>
      <c r="U13" s="78"/>
      <c r="V13" s="78"/>
      <c r="W13" s="78"/>
      <c r="X13" s="78"/>
      <c r="Y13" s="78"/>
      <c r="Z13" s="78"/>
      <c r="AA13" s="78"/>
    </row>
    <row r="14" spans="1:27" ht="12.75" customHeight="1" x14ac:dyDescent="0.2">
      <c r="A14" s="10"/>
      <c r="B14" s="9"/>
      <c r="C14" s="9"/>
      <c r="D14" s="8"/>
      <c r="E14" s="35">
        <f t="shared" si="3"/>
        <v>0</v>
      </c>
      <c r="F14" s="12"/>
      <c r="G14" s="12"/>
      <c r="H14" s="12"/>
      <c r="I14" s="35">
        <f t="shared" si="1"/>
        <v>0</v>
      </c>
      <c r="J14" s="78"/>
      <c r="K14" s="78"/>
      <c r="L14" s="78"/>
      <c r="M14" s="78"/>
      <c r="N14" s="78"/>
      <c r="O14" s="78"/>
      <c r="P14" s="78"/>
      <c r="Q14" s="78"/>
      <c r="R14" s="78"/>
      <c r="S14" s="78"/>
      <c r="T14" s="78"/>
      <c r="U14" s="78"/>
      <c r="V14" s="78"/>
      <c r="W14" s="78"/>
      <c r="X14" s="78"/>
      <c r="Y14" s="78"/>
      <c r="Z14" s="78"/>
      <c r="AA14" s="78"/>
    </row>
    <row r="15" spans="1:27" ht="12.75" customHeight="1" x14ac:dyDescent="0.2">
      <c r="A15" s="10"/>
      <c r="B15" s="9"/>
      <c r="C15" s="9"/>
      <c r="D15" s="8"/>
      <c r="E15" s="35">
        <f t="shared" si="3"/>
        <v>0</v>
      </c>
      <c r="F15" s="12"/>
      <c r="G15" s="12"/>
      <c r="H15" s="12"/>
      <c r="I15" s="35">
        <f t="shared" si="1"/>
        <v>0</v>
      </c>
      <c r="J15" s="78"/>
      <c r="K15" s="78"/>
      <c r="L15" s="78"/>
      <c r="M15" s="78"/>
      <c r="N15" s="78"/>
      <c r="O15" s="78"/>
      <c r="P15" s="78"/>
      <c r="Q15" s="78"/>
      <c r="R15" s="78"/>
      <c r="S15" s="78"/>
      <c r="T15" s="78"/>
      <c r="U15" s="78"/>
      <c r="V15" s="78"/>
      <c r="W15" s="78"/>
      <c r="X15" s="78"/>
      <c r="Y15" s="78"/>
      <c r="Z15" s="78"/>
      <c r="AA15" s="78"/>
    </row>
    <row r="16" spans="1:27" ht="12.75" customHeight="1" x14ac:dyDescent="0.2">
      <c r="A16" s="36"/>
      <c r="B16" s="37"/>
      <c r="C16" s="37"/>
      <c r="D16" s="40"/>
      <c r="E16" s="35">
        <f t="shared" si="3"/>
        <v>0</v>
      </c>
      <c r="F16" s="41"/>
      <c r="G16" s="41"/>
      <c r="H16" s="41"/>
      <c r="I16" s="35">
        <f t="shared" si="1"/>
        <v>0</v>
      </c>
      <c r="J16" s="51"/>
      <c r="K16" s="51"/>
      <c r="L16" s="51"/>
      <c r="M16" s="51"/>
      <c r="N16" s="51"/>
      <c r="O16" s="51"/>
      <c r="P16" s="51"/>
      <c r="Q16" s="51"/>
      <c r="R16" s="51"/>
      <c r="S16" s="51"/>
      <c r="T16" s="51"/>
      <c r="U16" s="51"/>
      <c r="V16" s="51"/>
      <c r="W16" s="51"/>
      <c r="X16" s="51"/>
      <c r="Y16" s="51"/>
      <c r="Z16" s="51"/>
      <c r="AA16" s="51"/>
    </row>
    <row r="17" spans="1:27" ht="12.75" customHeight="1" x14ac:dyDescent="0.2">
      <c r="A17" s="10"/>
      <c r="B17" s="9"/>
      <c r="C17" s="9"/>
      <c r="D17" s="8"/>
      <c r="E17" s="35">
        <f t="shared" si="3"/>
        <v>0</v>
      </c>
      <c r="F17" s="12"/>
      <c r="G17" s="12"/>
      <c r="H17" s="12"/>
      <c r="I17" s="35">
        <f t="shared" si="1"/>
        <v>0</v>
      </c>
      <c r="J17" s="51"/>
      <c r="K17" s="51"/>
      <c r="L17" s="51"/>
      <c r="M17" s="51"/>
      <c r="N17" s="51"/>
      <c r="O17" s="51"/>
      <c r="P17" s="51"/>
      <c r="Q17" s="51"/>
      <c r="R17" s="51"/>
      <c r="S17" s="51"/>
      <c r="T17" s="51"/>
      <c r="U17" s="51"/>
      <c r="V17" s="51"/>
      <c r="W17" s="51"/>
      <c r="X17" s="51"/>
      <c r="Y17" s="51"/>
      <c r="Z17" s="51"/>
      <c r="AA17" s="51"/>
    </row>
    <row r="18" spans="1:27" ht="12.75" customHeight="1" x14ac:dyDescent="0.2">
      <c r="A18" s="288" t="s">
        <v>112</v>
      </c>
      <c r="B18" s="289"/>
      <c r="C18" s="289"/>
      <c r="D18" s="290"/>
      <c r="E18" s="207">
        <f t="shared" ref="E18:H18" si="4">SUM(E9:E17)</f>
        <v>11000000</v>
      </c>
      <c r="F18" s="206">
        <f t="shared" si="4"/>
        <v>11000000</v>
      </c>
      <c r="G18" s="206">
        <f t="shared" si="4"/>
        <v>0</v>
      </c>
      <c r="H18" s="206">
        <f t="shared" si="4"/>
        <v>0</v>
      </c>
      <c r="I18" s="208">
        <f t="shared" si="1"/>
        <v>11000000</v>
      </c>
      <c r="J18" s="52"/>
      <c r="K18" s="52"/>
      <c r="L18" s="52"/>
      <c r="M18" s="52"/>
      <c r="N18" s="52"/>
      <c r="O18" s="52"/>
      <c r="P18" s="52"/>
      <c r="Q18" s="52"/>
      <c r="R18" s="52"/>
      <c r="S18" s="52"/>
      <c r="T18" s="52"/>
      <c r="U18" s="52"/>
      <c r="V18" s="52"/>
      <c r="W18" s="52"/>
      <c r="X18" s="52"/>
      <c r="Y18" s="52"/>
      <c r="Z18" s="52"/>
      <c r="AA18" s="52"/>
    </row>
    <row r="19" spans="1:27" ht="12.75" customHeight="1" x14ac:dyDescent="0.2">
      <c r="A19" s="209"/>
      <c r="B19" s="209" t="s">
        <v>127</v>
      </c>
      <c r="C19" s="209"/>
      <c r="D19" s="209"/>
      <c r="E19" s="209"/>
      <c r="F19" s="209"/>
      <c r="G19" s="209"/>
      <c r="H19" s="209"/>
      <c r="I19" s="209"/>
      <c r="J19" s="51"/>
      <c r="K19" s="51"/>
      <c r="L19" s="51"/>
      <c r="M19" s="51"/>
      <c r="N19" s="51"/>
      <c r="O19" s="51"/>
      <c r="P19" s="51"/>
      <c r="Q19" s="51"/>
      <c r="R19" s="51"/>
      <c r="S19" s="51"/>
      <c r="T19" s="51"/>
      <c r="U19" s="51"/>
      <c r="V19" s="51"/>
      <c r="W19" s="51"/>
      <c r="X19" s="51"/>
      <c r="Y19" s="51"/>
      <c r="Z19" s="51"/>
      <c r="AA19" s="51"/>
    </row>
    <row r="20" spans="1:27" ht="12.75" customHeight="1" x14ac:dyDescent="0.2">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row>
    <row r="21" spans="1:27" ht="12.75" customHeight="1" x14ac:dyDescent="0.2">
      <c r="A21" s="63"/>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row>
    <row r="22" spans="1:27" ht="12.75" customHeight="1" x14ac:dyDescent="0.2">
      <c r="A22" s="63"/>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row>
    <row r="23" spans="1:27" ht="12.75" customHeight="1" x14ac:dyDescent="0.2">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row>
    <row r="24" spans="1:27" ht="12.75" customHeight="1" x14ac:dyDescent="0.2">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row>
    <row r="25" spans="1:27" ht="12.75" customHeight="1" x14ac:dyDescent="0.2">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row>
    <row r="26" spans="1:27" ht="12.75" customHeight="1" x14ac:dyDescent="0.2">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row>
    <row r="27" spans="1:27" ht="12.75" customHeight="1" x14ac:dyDescent="0.2">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row>
    <row r="28" spans="1:27" ht="12.75" customHeight="1" x14ac:dyDescent="0.2">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row>
    <row r="29" spans="1:27" ht="12.75" customHeight="1" x14ac:dyDescent="0.2">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row>
    <row r="30" spans="1:27" ht="12.75" customHeight="1" x14ac:dyDescent="0.2">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row>
    <row r="31" spans="1:27" ht="12.75" customHeight="1" x14ac:dyDescent="0.2">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row>
    <row r="32" spans="1:27" ht="12.75" customHeight="1" x14ac:dyDescent="0.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row>
    <row r="33" spans="1:27" ht="12.75" customHeight="1" x14ac:dyDescent="0.2">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row>
    <row r="34" spans="1:27" ht="12.75" customHeight="1" x14ac:dyDescent="0.2">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row>
    <row r="35" spans="1:27" ht="12.75" customHeight="1" x14ac:dyDescent="0.2">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row>
    <row r="36" spans="1:27" ht="12.75" customHeight="1" x14ac:dyDescent="0.2">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row>
    <row r="37" spans="1:27" ht="12.75" customHeight="1" x14ac:dyDescent="0.2">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row>
    <row r="38" spans="1:27" ht="12.75" customHeight="1" x14ac:dyDescent="0.2">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row>
    <row r="39" spans="1:27" ht="12.75" customHeight="1" x14ac:dyDescent="0.2">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row>
    <row r="40" spans="1:27" ht="12.75" customHeight="1" x14ac:dyDescent="0.2">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row>
    <row r="41" spans="1:27" ht="12.75" customHeight="1" x14ac:dyDescent="0.2">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row>
    <row r="42" spans="1:27" ht="12.75" customHeight="1" x14ac:dyDescent="0.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row>
    <row r="43" spans="1:27" ht="12.75" customHeight="1" x14ac:dyDescent="0.2">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row>
    <row r="44" spans="1:27" ht="12.75" customHeight="1" x14ac:dyDescent="0.2">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row>
    <row r="45" spans="1:27" ht="12.75" customHeight="1" x14ac:dyDescent="0.2">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row>
    <row r="46" spans="1:27" ht="12.75" customHeight="1" x14ac:dyDescent="0.2">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row>
    <row r="47" spans="1:27" ht="12.75" customHeight="1" x14ac:dyDescent="0.2">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row>
    <row r="48" spans="1:27" ht="12.75" customHeight="1" x14ac:dyDescent="0.2">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row>
    <row r="49" spans="1:27" ht="12.75" customHeight="1" x14ac:dyDescent="0.2">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row>
    <row r="50" spans="1:27" ht="12.75" customHeight="1" x14ac:dyDescent="0.2">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row>
    <row r="51" spans="1:27" ht="12.75" customHeight="1" x14ac:dyDescent="0.2">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row>
    <row r="52" spans="1:27" ht="12.75" customHeight="1" x14ac:dyDescent="0.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row>
    <row r="53" spans="1:27" ht="12.75" customHeight="1" x14ac:dyDescent="0.2">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row>
    <row r="54" spans="1:27" ht="12.75" customHeight="1" x14ac:dyDescent="0.2">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row>
    <row r="55" spans="1:27" ht="12.75" customHeight="1" x14ac:dyDescent="0.2">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row>
    <row r="56" spans="1:27" ht="12.75" customHeight="1" x14ac:dyDescent="0.2">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row>
    <row r="57" spans="1:27" ht="12.75" customHeight="1" x14ac:dyDescent="0.2">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row>
    <row r="58" spans="1:27" ht="12.75" customHeight="1" x14ac:dyDescent="0.2">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row>
    <row r="59" spans="1:27" ht="12.75" customHeight="1" x14ac:dyDescent="0.2">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row>
    <row r="60" spans="1:27" ht="12.75" customHeight="1" x14ac:dyDescent="0.2">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row>
    <row r="61" spans="1:27" ht="12.75" customHeight="1" x14ac:dyDescent="0.2">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row>
    <row r="62" spans="1:27" ht="12.75" customHeight="1" x14ac:dyDescent="0.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row>
    <row r="63" spans="1:27" ht="12.75" customHeight="1" x14ac:dyDescent="0.2">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row>
    <row r="64" spans="1:27" ht="12.75" customHeight="1" x14ac:dyDescent="0.2">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row>
    <row r="65" spans="1:27" ht="12.75" customHeight="1" x14ac:dyDescent="0.2">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row>
    <row r="66" spans="1:27" ht="12.75" customHeight="1" x14ac:dyDescent="0.2">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row>
    <row r="67" spans="1:27" ht="12.75" customHeight="1" x14ac:dyDescent="0.2">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row>
    <row r="68" spans="1:27" ht="12.75" customHeight="1" x14ac:dyDescent="0.2">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row>
    <row r="69" spans="1:27" ht="12.75" customHeight="1" x14ac:dyDescent="0.2">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row>
    <row r="70" spans="1:27" ht="12.75" customHeight="1" x14ac:dyDescent="0.2">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row>
    <row r="71" spans="1:27" ht="12.75" customHeight="1" x14ac:dyDescent="0.2">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row>
    <row r="72" spans="1:27" ht="12.75" customHeight="1" x14ac:dyDescent="0.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row>
    <row r="73" spans="1:27" ht="12.75" customHeight="1" x14ac:dyDescent="0.2">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row>
    <row r="74" spans="1:27" ht="12.75" customHeight="1" x14ac:dyDescent="0.2">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row>
    <row r="75" spans="1:27" ht="12.75" customHeight="1" x14ac:dyDescent="0.2">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row>
    <row r="76" spans="1:27" ht="12.75" customHeight="1" x14ac:dyDescent="0.2">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row>
    <row r="77" spans="1:27" ht="12.75" customHeight="1" x14ac:dyDescent="0.2">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row>
    <row r="78" spans="1:27" ht="12.75" customHeight="1" x14ac:dyDescent="0.2">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row>
    <row r="79" spans="1:27" ht="12.75" customHeight="1" x14ac:dyDescent="0.2">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row>
    <row r="80" spans="1:27" ht="12.75" customHeight="1" x14ac:dyDescent="0.2">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row>
    <row r="81" spans="1:27" ht="12.75" customHeight="1" x14ac:dyDescent="0.2">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row>
    <row r="82" spans="1:27" ht="12.75" customHeight="1" x14ac:dyDescent="0.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row>
    <row r="83" spans="1:27" ht="12.75" customHeight="1" x14ac:dyDescent="0.2">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row>
    <row r="84" spans="1:27" ht="12.75" customHeight="1" x14ac:dyDescent="0.2">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row>
    <row r="85" spans="1:27" ht="12.75" customHeight="1" x14ac:dyDescent="0.2">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row>
    <row r="86" spans="1:27" ht="12.75" customHeight="1" x14ac:dyDescent="0.2">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row>
    <row r="87" spans="1:27" ht="12.75" customHeight="1" x14ac:dyDescent="0.2">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row>
    <row r="88" spans="1:27" ht="12.75" customHeight="1" x14ac:dyDescent="0.2">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row>
    <row r="89" spans="1:27" ht="12.75" customHeight="1" x14ac:dyDescent="0.2">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row>
    <row r="90" spans="1:27" ht="12.75" customHeight="1" x14ac:dyDescent="0.2">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row>
    <row r="91" spans="1:27" ht="12.75" customHeight="1" x14ac:dyDescent="0.2">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row>
    <row r="92" spans="1:27" ht="12.75" customHeight="1" x14ac:dyDescent="0.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row>
    <row r="93" spans="1:27" ht="12.75" customHeight="1" x14ac:dyDescent="0.2">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row>
    <row r="94" spans="1:27" ht="12.75" customHeight="1" x14ac:dyDescent="0.2">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row>
    <row r="95" spans="1:27" ht="12.75" customHeight="1" x14ac:dyDescent="0.2">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row>
    <row r="96" spans="1:27" ht="12.75" customHeight="1" x14ac:dyDescent="0.2">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row>
    <row r="97" spans="1:27" ht="12.75" customHeight="1" x14ac:dyDescent="0.2">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row>
    <row r="98" spans="1:27" ht="12.75" customHeight="1" x14ac:dyDescent="0.2">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row>
    <row r="99" spans="1:27" ht="12.75" customHeight="1" x14ac:dyDescent="0.2">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row>
    <row r="100" spans="1:27" ht="12.75" customHeight="1" x14ac:dyDescent="0.2">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row>
    <row r="101" spans="1:27" ht="12.75" customHeight="1" x14ac:dyDescent="0.2">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row>
    <row r="102" spans="1:27" ht="12.75" customHeight="1" x14ac:dyDescent="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row>
    <row r="103" spans="1:27" ht="12.75" customHeight="1" x14ac:dyDescent="0.2">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row>
    <row r="104" spans="1:27" ht="12.75" customHeight="1" x14ac:dyDescent="0.2">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row>
    <row r="105" spans="1:27" ht="12.75" customHeight="1" x14ac:dyDescent="0.2">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row>
    <row r="106" spans="1:27" ht="12.75" customHeight="1" x14ac:dyDescent="0.2">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row>
    <row r="107" spans="1:27" ht="12.75" customHeight="1" x14ac:dyDescent="0.2">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row>
    <row r="108" spans="1:27" ht="12.75" customHeight="1" x14ac:dyDescent="0.2">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row>
    <row r="109" spans="1:27" ht="12.75" customHeight="1" x14ac:dyDescent="0.2">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row>
    <row r="110" spans="1:27" ht="12.75" customHeight="1" x14ac:dyDescent="0.2">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row>
    <row r="111" spans="1:27" ht="12.75" customHeight="1" x14ac:dyDescent="0.2">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row>
    <row r="112" spans="1:27" ht="12.75" customHeight="1" x14ac:dyDescent="0.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spans="1:27" ht="12.75" customHeight="1" x14ac:dyDescent="0.2">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spans="1:27" ht="12.75" customHeight="1" x14ac:dyDescent="0.2">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spans="1:27" ht="12.75" customHeight="1" x14ac:dyDescent="0.2">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row>
    <row r="116" spans="1:27" ht="12.75" customHeight="1" x14ac:dyDescent="0.2">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spans="1:27" ht="12.75" customHeight="1" x14ac:dyDescent="0.2">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spans="1:27" ht="12.75" customHeight="1" x14ac:dyDescent="0.2">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spans="1:27" ht="12.75" customHeight="1" x14ac:dyDescent="0.2">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spans="1:27" ht="12.75" customHeight="1" x14ac:dyDescent="0.2">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spans="1:27" ht="12.75" customHeight="1" x14ac:dyDescent="0.2">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spans="1:27" ht="12.75" customHeight="1" x14ac:dyDescent="0.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spans="1:27" ht="12.75" customHeight="1" x14ac:dyDescent="0.2">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spans="1:27" ht="12.75" customHeight="1" x14ac:dyDescent="0.2">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spans="1:27" ht="12.75" customHeight="1" x14ac:dyDescent="0.2">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row>
    <row r="126" spans="1:27" ht="12.75" customHeight="1" x14ac:dyDescent="0.2">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spans="1:27" ht="12.75" customHeight="1" x14ac:dyDescent="0.2">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spans="1:27" ht="12.75" customHeight="1" x14ac:dyDescent="0.2">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spans="1:27" ht="12.75" customHeight="1" x14ac:dyDescent="0.2">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spans="1:27" ht="12.75" customHeight="1" x14ac:dyDescent="0.2">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row>
    <row r="131" spans="1:27" ht="12.75" customHeight="1" x14ac:dyDescent="0.2">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spans="1:27" ht="12.75" customHeight="1" x14ac:dyDescent="0.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spans="1:27" ht="12.75" customHeight="1" x14ac:dyDescent="0.2">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spans="1:27" ht="12.75" customHeight="1" x14ac:dyDescent="0.2">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spans="1:27" ht="12.75" customHeight="1" x14ac:dyDescent="0.2">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row>
    <row r="136" spans="1:27" ht="12.75" customHeight="1" x14ac:dyDescent="0.2">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row>
    <row r="137" spans="1:27" ht="12.75" customHeight="1" x14ac:dyDescent="0.2">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spans="1:27" ht="12.75" customHeight="1" x14ac:dyDescent="0.2">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row>
    <row r="139" spans="1:27" ht="12.75" customHeight="1" x14ac:dyDescent="0.2">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row>
    <row r="140" spans="1:27" ht="12.75" customHeight="1" x14ac:dyDescent="0.2">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row>
    <row r="141" spans="1:27" ht="12.75" customHeight="1" x14ac:dyDescent="0.2">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row>
    <row r="142" spans="1:27" ht="12.75" customHeight="1" x14ac:dyDescent="0.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row>
    <row r="143" spans="1:27" ht="12.75" customHeight="1" x14ac:dyDescent="0.2">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row>
    <row r="144" spans="1:27" ht="12.75" customHeight="1" x14ac:dyDescent="0.2">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row>
    <row r="145" spans="1:27" ht="12.75" customHeight="1" x14ac:dyDescent="0.2">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row>
    <row r="146" spans="1:27" ht="12.75" customHeight="1" x14ac:dyDescent="0.2">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row>
    <row r="147" spans="1:27" ht="12.75" customHeight="1" x14ac:dyDescent="0.2">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row>
    <row r="148" spans="1:27" ht="12.75" customHeight="1" x14ac:dyDescent="0.2">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row>
    <row r="149" spans="1:27" ht="12.75" customHeight="1" x14ac:dyDescent="0.2">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row>
    <row r="150" spans="1:27" ht="12.75" customHeight="1" x14ac:dyDescent="0.2">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row>
    <row r="151" spans="1:27" ht="12.75" customHeight="1" x14ac:dyDescent="0.2">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row>
    <row r="152" spans="1:27" ht="12.75" customHeight="1" x14ac:dyDescent="0.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row>
    <row r="153" spans="1:27" ht="12.75" customHeight="1" x14ac:dyDescent="0.2">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row>
    <row r="154" spans="1:27" ht="12.75" customHeight="1" x14ac:dyDescent="0.2">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row>
    <row r="155" spans="1:27" ht="12.75" customHeight="1" x14ac:dyDescent="0.2">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row>
    <row r="156" spans="1:27" ht="12.75" customHeight="1" x14ac:dyDescent="0.2">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row>
    <row r="157" spans="1:27" ht="12.75" customHeight="1" x14ac:dyDescent="0.2">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spans="1:27" ht="12.75" customHeight="1" x14ac:dyDescent="0.2">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row>
    <row r="159" spans="1:27" ht="12.75" customHeight="1" x14ac:dyDescent="0.2">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spans="1:27" ht="12.75" customHeight="1" x14ac:dyDescent="0.2">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row>
    <row r="161" spans="1:27" ht="12.75" customHeight="1" x14ac:dyDescent="0.2">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row>
    <row r="162" spans="1:27" ht="12.75" customHeight="1" x14ac:dyDescent="0.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row>
    <row r="163" spans="1:27" ht="12.75" customHeight="1" x14ac:dyDescent="0.2">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row>
    <row r="164" spans="1:27" ht="12.75" customHeight="1" x14ac:dyDescent="0.2">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row>
    <row r="165" spans="1:27" ht="12.75" customHeight="1" x14ac:dyDescent="0.2">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row>
    <row r="166" spans="1:27" ht="12.75" customHeight="1" x14ac:dyDescent="0.2">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row>
    <row r="167" spans="1:27" ht="12.75" customHeight="1" x14ac:dyDescent="0.2">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row>
    <row r="168" spans="1:27" ht="12.75" customHeight="1" x14ac:dyDescent="0.2">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row>
    <row r="169" spans="1:27" ht="12.75" customHeight="1" x14ac:dyDescent="0.2">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row>
    <row r="170" spans="1:27" ht="12.75" customHeight="1" x14ac:dyDescent="0.2">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row>
    <row r="171" spans="1:27" ht="12.75" customHeight="1" x14ac:dyDescent="0.2">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row>
    <row r="172" spans="1:27" ht="12.75" customHeight="1" x14ac:dyDescent="0.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row>
    <row r="173" spans="1:27" ht="12.75" customHeight="1" x14ac:dyDescent="0.2">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row>
    <row r="174" spans="1:27" ht="12.75" customHeight="1" x14ac:dyDescent="0.2">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row>
    <row r="175" spans="1:27" ht="12.75" customHeight="1" x14ac:dyDescent="0.2">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row>
    <row r="176" spans="1:27" ht="12.75" customHeight="1" x14ac:dyDescent="0.2">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row>
    <row r="177" spans="1:27" ht="12.75" customHeight="1" x14ac:dyDescent="0.2">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row>
    <row r="178" spans="1:27" ht="12.75" customHeight="1" x14ac:dyDescent="0.2">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row>
    <row r="179" spans="1:27" ht="12.75" customHeight="1" x14ac:dyDescent="0.2">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row>
    <row r="180" spans="1:27" ht="12.75" customHeight="1" x14ac:dyDescent="0.2">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row>
    <row r="181" spans="1:27" ht="12.75" customHeight="1" x14ac:dyDescent="0.2">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row>
    <row r="182" spans="1:27" ht="12.75" customHeight="1" x14ac:dyDescent="0.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row>
    <row r="183" spans="1:27" ht="12.75" customHeight="1" x14ac:dyDescent="0.2">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row>
    <row r="184" spans="1:27" ht="12.75" customHeight="1" x14ac:dyDescent="0.2">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row>
    <row r="185" spans="1:27" ht="12.75" customHeight="1" x14ac:dyDescent="0.2">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row>
    <row r="186" spans="1:27" ht="12.75" customHeight="1" x14ac:dyDescent="0.2">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row>
    <row r="187" spans="1:27" ht="12.75" customHeight="1" x14ac:dyDescent="0.2">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row>
    <row r="188" spans="1:27" ht="12.75" customHeight="1" x14ac:dyDescent="0.2">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row>
    <row r="189" spans="1:27" ht="12.75" customHeight="1" x14ac:dyDescent="0.2">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row>
    <row r="190" spans="1:27" ht="12.75" customHeight="1" x14ac:dyDescent="0.2">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row>
    <row r="191" spans="1:27" ht="12.75" customHeight="1" x14ac:dyDescent="0.2">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row>
    <row r="192" spans="1:27" ht="12.75" customHeight="1" x14ac:dyDescent="0.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row>
    <row r="193" spans="1:27" ht="12.75" customHeight="1" x14ac:dyDescent="0.2">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row>
    <row r="194" spans="1:27" ht="12.75" customHeight="1" x14ac:dyDescent="0.2">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row>
    <row r="195" spans="1:27" ht="12.75" customHeight="1" x14ac:dyDescent="0.2">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row>
    <row r="196" spans="1:27" ht="12.75" customHeight="1" x14ac:dyDescent="0.2">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row>
    <row r="197" spans="1:27" ht="12.75" customHeight="1" x14ac:dyDescent="0.2">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row>
    <row r="198" spans="1:27" ht="12.75" customHeight="1" x14ac:dyDescent="0.2">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row>
    <row r="199" spans="1:27" ht="12.75" customHeight="1" x14ac:dyDescent="0.2">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row>
    <row r="200" spans="1:27" ht="12.75" customHeight="1" x14ac:dyDescent="0.2">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row>
    <row r="201" spans="1:27" ht="12.75" customHeight="1" x14ac:dyDescent="0.2">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row>
    <row r="202" spans="1:27" ht="12.75" customHeight="1" x14ac:dyDescent="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row>
    <row r="203" spans="1:27" ht="12.75" customHeight="1" x14ac:dyDescent="0.2">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row>
    <row r="204" spans="1:27" ht="12.75" customHeight="1" x14ac:dyDescent="0.2">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row>
    <row r="205" spans="1:27" ht="12.75" customHeight="1" x14ac:dyDescent="0.2">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row>
    <row r="206" spans="1:27" ht="12.75" customHeight="1" x14ac:dyDescent="0.2">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row>
    <row r="207" spans="1:27" ht="12.75" customHeight="1" x14ac:dyDescent="0.2">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row>
    <row r="208" spans="1:27" ht="12.75" customHeight="1" x14ac:dyDescent="0.2">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row>
    <row r="209" spans="1:27" ht="12.75" customHeight="1" x14ac:dyDescent="0.2">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row>
    <row r="210" spans="1:27" ht="12.75" customHeight="1" x14ac:dyDescent="0.2">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row>
    <row r="211" spans="1:27" ht="12.75" customHeight="1" x14ac:dyDescent="0.2">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row>
    <row r="212" spans="1:27" ht="12.75" customHeight="1" x14ac:dyDescent="0.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row>
    <row r="213" spans="1:27" ht="12.75" customHeight="1" x14ac:dyDescent="0.2">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row>
    <row r="214" spans="1:27" ht="12.75" customHeight="1" x14ac:dyDescent="0.2">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row>
    <row r="215" spans="1:27" ht="12.75" customHeight="1" x14ac:dyDescent="0.2">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row>
    <row r="216" spans="1:27" ht="12.75" customHeight="1" x14ac:dyDescent="0.2">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row>
    <row r="217" spans="1:27" ht="12.75" customHeight="1" x14ac:dyDescent="0.2">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row>
    <row r="218" spans="1:27" ht="12.75" customHeight="1" x14ac:dyDescent="0.2">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row>
    <row r="219" spans="1:27" ht="12.75" customHeight="1" x14ac:dyDescent="0.2">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row>
    <row r="220" spans="1:27" ht="12.75" customHeight="1" x14ac:dyDescent="0.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row>
    <row r="221" spans="1:27" ht="12.75" customHeight="1" x14ac:dyDescent="0.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row>
    <row r="222" spans="1:27" ht="12.75" customHeight="1" x14ac:dyDescent="0.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row>
    <row r="223" spans="1:27" ht="12.75" customHeight="1" x14ac:dyDescent="0.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row>
    <row r="224" spans="1:27" ht="12.75" customHeight="1" x14ac:dyDescent="0.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row>
    <row r="225" spans="1:27" ht="12.75" customHeight="1" x14ac:dyDescent="0.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row>
    <row r="226" spans="1:27" ht="12.75" customHeight="1" x14ac:dyDescent="0.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row>
    <row r="227" spans="1:27" ht="12.75" customHeight="1" x14ac:dyDescent="0.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row>
    <row r="228" spans="1:27" ht="12.75" customHeight="1" x14ac:dyDescent="0.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row>
    <row r="229" spans="1:27" ht="12.75" customHeight="1" x14ac:dyDescent="0.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row>
    <row r="230" spans="1:27" ht="12.75" customHeight="1" x14ac:dyDescent="0.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row>
    <row r="231" spans="1:27" ht="12.75" customHeight="1" x14ac:dyDescent="0.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row>
    <row r="232" spans="1:27" ht="12.75" customHeight="1" x14ac:dyDescent="0.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row>
    <row r="233" spans="1:27" ht="12.75" customHeight="1" x14ac:dyDescent="0.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row>
    <row r="234" spans="1:27" ht="12.75" customHeight="1" x14ac:dyDescent="0.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row>
    <row r="235" spans="1:27" ht="12.75" customHeight="1" x14ac:dyDescent="0.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row>
    <row r="236" spans="1:27" ht="12.75" customHeight="1" x14ac:dyDescent="0.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row>
    <row r="237" spans="1:27" ht="12.75" customHeight="1" x14ac:dyDescent="0.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row>
    <row r="238" spans="1:27" ht="12.75" customHeight="1" x14ac:dyDescent="0.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row>
    <row r="239" spans="1:27" ht="12.75" customHeight="1" x14ac:dyDescent="0.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row>
    <row r="240" spans="1:27" ht="12.75" customHeight="1" x14ac:dyDescent="0.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row>
    <row r="241" spans="1:27" ht="12.75" customHeight="1" x14ac:dyDescent="0.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row>
    <row r="242" spans="1:27" ht="12.75" customHeight="1" x14ac:dyDescent="0.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row>
    <row r="243" spans="1:27" ht="12.75" customHeight="1" x14ac:dyDescent="0.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row>
    <row r="244" spans="1:27" ht="12.75" customHeight="1" x14ac:dyDescent="0.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row>
    <row r="245" spans="1:27" ht="12.75" customHeight="1" x14ac:dyDescent="0.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row>
    <row r="246" spans="1:27" ht="12.75" customHeight="1" x14ac:dyDescent="0.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row>
    <row r="247" spans="1:27" ht="12.75" customHeight="1" x14ac:dyDescent="0.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row>
    <row r="248" spans="1:27" ht="12.75" customHeight="1" x14ac:dyDescent="0.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row>
    <row r="249" spans="1:27" ht="12.75" customHeight="1" x14ac:dyDescent="0.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row>
    <row r="250" spans="1:27" ht="12.75" customHeight="1" x14ac:dyDescent="0.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row>
    <row r="251" spans="1:27" ht="12.75" customHeight="1" x14ac:dyDescent="0.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row>
    <row r="252" spans="1:27" ht="12.75" customHeight="1" x14ac:dyDescent="0.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row>
    <row r="253" spans="1:27" ht="12.75" customHeight="1" x14ac:dyDescent="0.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row>
    <row r="254" spans="1:27" ht="12.75" customHeight="1" x14ac:dyDescent="0.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row>
    <row r="255" spans="1:27" ht="12.75" customHeight="1" x14ac:dyDescent="0.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row>
    <row r="256" spans="1:27" ht="12.75" customHeight="1" x14ac:dyDescent="0.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row>
    <row r="257" spans="1:27" ht="12.75" customHeight="1" x14ac:dyDescent="0.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row>
    <row r="258" spans="1:27" ht="12.75" customHeight="1" x14ac:dyDescent="0.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row>
    <row r="259" spans="1:27" ht="12.75" customHeight="1" x14ac:dyDescent="0.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row>
    <row r="260" spans="1:27" ht="12.75" customHeight="1" x14ac:dyDescent="0.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row>
    <row r="261" spans="1:27" ht="12.75" customHeight="1" x14ac:dyDescent="0.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row>
    <row r="262" spans="1:27" ht="12.75" customHeight="1" x14ac:dyDescent="0.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row>
    <row r="263" spans="1:27" ht="12.75" customHeight="1" x14ac:dyDescent="0.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row>
    <row r="264" spans="1:27" ht="12.75" customHeight="1" x14ac:dyDescent="0.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row>
    <row r="265" spans="1:27" ht="12.75" customHeight="1" x14ac:dyDescent="0.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row>
    <row r="266" spans="1:27" ht="12.75" customHeight="1" x14ac:dyDescent="0.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row>
    <row r="267" spans="1:27" ht="12.75" customHeight="1" x14ac:dyDescent="0.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row>
    <row r="268" spans="1:27" ht="12.75" customHeight="1" x14ac:dyDescent="0.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row>
    <row r="269" spans="1:27" ht="12.75" customHeight="1" x14ac:dyDescent="0.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row>
    <row r="270" spans="1:27" ht="12.75" customHeight="1" x14ac:dyDescent="0.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row>
    <row r="271" spans="1:27" ht="12.75" customHeight="1" x14ac:dyDescent="0.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row>
    <row r="272" spans="1:27" ht="12.75" customHeight="1" x14ac:dyDescent="0.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row>
    <row r="273" spans="1:27" ht="12.75" customHeight="1" x14ac:dyDescent="0.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row>
    <row r="274" spans="1:27" ht="12.75" customHeight="1" x14ac:dyDescent="0.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row>
    <row r="275" spans="1:27" ht="12.75" customHeight="1" x14ac:dyDescent="0.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row>
    <row r="276" spans="1:27" ht="12.75" customHeight="1" x14ac:dyDescent="0.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row>
    <row r="277" spans="1:27" ht="12.75" customHeight="1" x14ac:dyDescent="0.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row>
    <row r="278" spans="1:27" ht="12.75" customHeight="1" x14ac:dyDescent="0.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row>
    <row r="279" spans="1:27" ht="12.75" customHeight="1" x14ac:dyDescent="0.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row>
    <row r="280" spans="1:27" ht="12.75" customHeight="1" x14ac:dyDescent="0.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row>
    <row r="281" spans="1:27" ht="12.75" customHeight="1" x14ac:dyDescent="0.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row>
    <row r="282" spans="1:27" ht="12.75" customHeight="1" x14ac:dyDescent="0.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row>
    <row r="283" spans="1:27" ht="12.75" customHeight="1" x14ac:dyDescent="0.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row>
    <row r="284" spans="1:27" ht="12.75" customHeight="1" x14ac:dyDescent="0.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row>
    <row r="285" spans="1:27" ht="12.75" customHeight="1" x14ac:dyDescent="0.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row>
    <row r="286" spans="1:27" ht="12.75" customHeight="1" x14ac:dyDescent="0.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row>
    <row r="287" spans="1:27" ht="12.75" customHeight="1" x14ac:dyDescent="0.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row>
    <row r="288" spans="1:27" ht="12.75" customHeight="1" x14ac:dyDescent="0.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row>
    <row r="289" spans="1:27" ht="12.75" customHeight="1" x14ac:dyDescent="0.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row>
    <row r="290" spans="1:27" ht="12.75" customHeight="1" x14ac:dyDescent="0.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row>
    <row r="291" spans="1:27" ht="12.75" customHeight="1" x14ac:dyDescent="0.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row>
    <row r="292" spans="1:27" ht="12.75" customHeight="1" x14ac:dyDescent="0.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row>
    <row r="293" spans="1:27" ht="12.75" customHeight="1" x14ac:dyDescent="0.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row>
    <row r="294" spans="1:27" ht="12.75" customHeight="1" x14ac:dyDescent="0.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row>
    <row r="295" spans="1:27" ht="12.75" customHeight="1" x14ac:dyDescent="0.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row>
    <row r="296" spans="1:27" ht="12.75" customHeight="1" x14ac:dyDescent="0.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row>
    <row r="297" spans="1:27" ht="12.75" customHeight="1" x14ac:dyDescent="0.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row>
    <row r="298" spans="1:27" ht="12.75" customHeight="1" x14ac:dyDescent="0.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row>
    <row r="299" spans="1:27" ht="12.75" customHeight="1" x14ac:dyDescent="0.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row>
    <row r="300" spans="1:27" ht="12.75" customHeight="1" x14ac:dyDescent="0.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row>
    <row r="301" spans="1:27" ht="12.75" customHeight="1" x14ac:dyDescent="0.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row>
    <row r="302" spans="1:27" ht="12.75" customHeight="1" x14ac:dyDescent="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row>
    <row r="303" spans="1:27" ht="12.75" customHeight="1" x14ac:dyDescent="0.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row>
    <row r="304" spans="1:27" ht="12.75" customHeight="1" x14ac:dyDescent="0.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row>
    <row r="305" spans="1:27" ht="12.75" customHeight="1" x14ac:dyDescent="0.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row>
    <row r="306" spans="1:27" ht="12.75" customHeight="1" x14ac:dyDescent="0.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row>
    <row r="307" spans="1:27" ht="12.75" customHeight="1" x14ac:dyDescent="0.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row>
    <row r="308" spans="1:27" ht="12.75" customHeight="1" x14ac:dyDescent="0.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row>
    <row r="309" spans="1:27" ht="12.75" customHeight="1" x14ac:dyDescent="0.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row>
    <row r="310" spans="1:27" ht="12.75" customHeight="1" x14ac:dyDescent="0.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row>
    <row r="311" spans="1:27" ht="12.75" customHeight="1" x14ac:dyDescent="0.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row>
    <row r="312" spans="1:27" ht="12.75" customHeight="1" x14ac:dyDescent="0.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row>
    <row r="313" spans="1:27" ht="12.75" customHeight="1" x14ac:dyDescent="0.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row>
    <row r="314" spans="1:27" ht="12.75" customHeight="1" x14ac:dyDescent="0.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row>
    <row r="315" spans="1:27" ht="12.75" customHeight="1" x14ac:dyDescent="0.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row>
    <row r="316" spans="1:27" ht="12.75" customHeight="1" x14ac:dyDescent="0.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row>
    <row r="317" spans="1:27" ht="12.75" customHeight="1" x14ac:dyDescent="0.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row>
    <row r="318" spans="1:27" ht="12.75" customHeight="1" x14ac:dyDescent="0.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row>
    <row r="319" spans="1:27" ht="12.75" customHeight="1" x14ac:dyDescent="0.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row>
    <row r="320" spans="1:27" ht="12.75" customHeight="1" x14ac:dyDescent="0.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row>
    <row r="321" spans="1:27" ht="12.75" customHeight="1" x14ac:dyDescent="0.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row>
    <row r="322" spans="1:27" ht="12.75" customHeight="1" x14ac:dyDescent="0.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row>
    <row r="323" spans="1:27" ht="12.75" customHeight="1" x14ac:dyDescent="0.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row>
    <row r="324" spans="1:27" ht="12.75" customHeight="1" x14ac:dyDescent="0.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row>
    <row r="325" spans="1:27" ht="12.75" customHeight="1" x14ac:dyDescent="0.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row>
    <row r="326" spans="1:27" ht="12.75" customHeight="1" x14ac:dyDescent="0.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row>
    <row r="327" spans="1:27" ht="12.75" customHeight="1" x14ac:dyDescent="0.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row>
    <row r="328" spans="1:27" ht="12.75" customHeight="1" x14ac:dyDescent="0.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row>
    <row r="329" spans="1:27" ht="12.75" customHeight="1" x14ac:dyDescent="0.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row>
    <row r="330" spans="1:27" ht="12.75" customHeight="1" x14ac:dyDescent="0.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row>
    <row r="331" spans="1:27" ht="12.75" customHeight="1" x14ac:dyDescent="0.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row>
    <row r="332" spans="1:27" ht="12.75" customHeight="1" x14ac:dyDescent="0.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row>
    <row r="333" spans="1:27" ht="12.75" customHeight="1" x14ac:dyDescent="0.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row>
    <row r="334" spans="1:27" ht="12.75" customHeight="1" x14ac:dyDescent="0.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row>
    <row r="335" spans="1:27" ht="12.75" customHeight="1" x14ac:dyDescent="0.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row>
    <row r="336" spans="1:27" ht="12.75" customHeight="1" x14ac:dyDescent="0.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row>
    <row r="337" spans="1:27" ht="12.75" customHeight="1" x14ac:dyDescent="0.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row>
    <row r="338" spans="1:27" ht="12.75" customHeight="1" x14ac:dyDescent="0.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row>
    <row r="339" spans="1:27" ht="12.75" customHeight="1" x14ac:dyDescent="0.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row>
    <row r="340" spans="1:27" ht="12.75" customHeight="1" x14ac:dyDescent="0.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row>
    <row r="341" spans="1:27" ht="12.75" customHeight="1" x14ac:dyDescent="0.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row>
    <row r="342" spans="1:27" ht="12.75" customHeight="1" x14ac:dyDescent="0.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row>
    <row r="343" spans="1:27" ht="12.75" customHeight="1" x14ac:dyDescent="0.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row>
    <row r="344" spans="1:27" ht="12.75" customHeight="1" x14ac:dyDescent="0.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row>
    <row r="345" spans="1:27" ht="12.75" customHeight="1" x14ac:dyDescent="0.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row>
    <row r="346" spans="1:27" ht="12.75" customHeight="1" x14ac:dyDescent="0.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row>
    <row r="347" spans="1:27" ht="12.75" customHeight="1" x14ac:dyDescent="0.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row>
    <row r="348" spans="1:27" ht="12.75" customHeight="1" x14ac:dyDescent="0.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row>
    <row r="349" spans="1:27" ht="12.75" customHeight="1" x14ac:dyDescent="0.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row>
    <row r="350" spans="1:27" ht="12.75" customHeight="1" x14ac:dyDescent="0.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row>
    <row r="351" spans="1:27" ht="12.75" customHeight="1" x14ac:dyDescent="0.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row>
    <row r="352" spans="1:27" ht="12.75" customHeight="1" x14ac:dyDescent="0.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row>
    <row r="353" spans="1:27" ht="12.75" customHeight="1" x14ac:dyDescent="0.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row>
    <row r="354" spans="1:27" ht="12.75" customHeight="1" x14ac:dyDescent="0.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row>
    <row r="355" spans="1:27" ht="12.75" customHeight="1" x14ac:dyDescent="0.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row>
    <row r="356" spans="1:27" ht="12.75" customHeight="1" x14ac:dyDescent="0.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row>
    <row r="357" spans="1:27" ht="12.75" customHeight="1" x14ac:dyDescent="0.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row>
    <row r="358" spans="1:27" ht="12.75" customHeight="1" x14ac:dyDescent="0.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row>
    <row r="359" spans="1:27" ht="12.75" customHeight="1" x14ac:dyDescent="0.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row>
    <row r="360" spans="1:27" ht="12.75" customHeight="1" x14ac:dyDescent="0.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row>
    <row r="361" spans="1:27" ht="12.75" customHeight="1" x14ac:dyDescent="0.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row>
    <row r="362" spans="1:27" ht="12.75" customHeight="1" x14ac:dyDescent="0.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row>
    <row r="363" spans="1:27" ht="12.75" customHeight="1" x14ac:dyDescent="0.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row>
    <row r="364" spans="1:27" ht="12.75" customHeight="1" x14ac:dyDescent="0.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row>
    <row r="365" spans="1:27" ht="12.75" customHeight="1" x14ac:dyDescent="0.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row>
    <row r="366" spans="1:27" ht="12.75" customHeight="1" x14ac:dyDescent="0.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row>
    <row r="367" spans="1:27" ht="12.75" customHeight="1" x14ac:dyDescent="0.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row>
    <row r="368" spans="1:27" ht="12.75" customHeight="1" x14ac:dyDescent="0.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row>
    <row r="369" spans="1:27" ht="12.75" customHeight="1" x14ac:dyDescent="0.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row>
    <row r="370" spans="1:27" ht="12.75" customHeight="1" x14ac:dyDescent="0.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row>
    <row r="371" spans="1:27" ht="12.75" customHeight="1" x14ac:dyDescent="0.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row>
    <row r="372" spans="1:27" ht="12.75" customHeight="1" x14ac:dyDescent="0.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row>
    <row r="373" spans="1:27" ht="12.75" customHeight="1" x14ac:dyDescent="0.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row>
    <row r="374" spans="1:27" ht="12.75" customHeight="1" x14ac:dyDescent="0.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row>
    <row r="375" spans="1:27" ht="12.75" customHeight="1" x14ac:dyDescent="0.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row>
    <row r="376" spans="1:27" ht="12.75" customHeight="1" x14ac:dyDescent="0.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row>
    <row r="377" spans="1:27" ht="12.75" customHeight="1" x14ac:dyDescent="0.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row>
    <row r="378" spans="1:27" ht="12.75" customHeight="1" x14ac:dyDescent="0.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row>
    <row r="379" spans="1:27" ht="12.75" customHeight="1" x14ac:dyDescent="0.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row>
    <row r="380" spans="1:27" ht="12.75" customHeight="1" x14ac:dyDescent="0.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row>
    <row r="381" spans="1:27" ht="12.75" customHeight="1" x14ac:dyDescent="0.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row>
    <row r="382" spans="1:27" ht="12.75" customHeight="1" x14ac:dyDescent="0.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row>
    <row r="383" spans="1:27" ht="12.75" customHeight="1" x14ac:dyDescent="0.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row>
    <row r="384" spans="1:27" ht="12.75" customHeight="1" x14ac:dyDescent="0.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row>
    <row r="385" spans="1:27" ht="12.75" customHeight="1" x14ac:dyDescent="0.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row>
    <row r="386" spans="1:27" ht="12.75" customHeight="1" x14ac:dyDescent="0.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row>
    <row r="387" spans="1:27" ht="12.75" customHeight="1" x14ac:dyDescent="0.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row>
    <row r="388" spans="1:27" ht="12.75" customHeight="1" x14ac:dyDescent="0.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row>
    <row r="389" spans="1:27" ht="12.75" customHeight="1" x14ac:dyDescent="0.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row>
    <row r="390" spans="1:27" ht="12.75" customHeight="1" x14ac:dyDescent="0.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row>
    <row r="391" spans="1:27" ht="12.75" customHeight="1" x14ac:dyDescent="0.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row>
    <row r="392" spans="1:27" ht="12.75" customHeight="1" x14ac:dyDescent="0.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row>
    <row r="393" spans="1:27" ht="12.75" customHeight="1" x14ac:dyDescent="0.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row>
    <row r="394" spans="1:27" ht="12.75" customHeight="1" x14ac:dyDescent="0.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row>
    <row r="395" spans="1:27" ht="12.75" customHeight="1" x14ac:dyDescent="0.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row>
    <row r="396" spans="1:27" ht="12.75" customHeight="1" x14ac:dyDescent="0.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row>
    <row r="397" spans="1:27" ht="12.75" customHeight="1" x14ac:dyDescent="0.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row>
    <row r="398" spans="1:27" ht="12.75" customHeight="1" x14ac:dyDescent="0.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row>
    <row r="399" spans="1:27" ht="12.75" customHeight="1" x14ac:dyDescent="0.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row>
    <row r="400" spans="1:27" ht="12.75" customHeight="1" x14ac:dyDescent="0.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row>
    <row r="401" spans="1:27" ht="12.75" customHeight="1" x14ac:dyDescent="0.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row>
    <row r="402" spans="1:27" ht="12.75" customHeight="1" x14ac:dyDescent="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row>
    <row r="403" spans="1:27" ht="12.75" customHeight="1" x14ac:dyDescent="0.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row>
    <row r="404" spans="1:27" ht="12.75" customHeight="1" x14ac:dyDescent="0.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row>
    <row r="405" spans="1:27" ht="12.75" customHeight="1" x14ac:dyDescent="0.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row>
    <row r="406" spans="1:27" ht="12.75" customHeight="1" x14ac:dyDescent="0.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row>
    <row r="407" spans="1:27" ht="12.75" customHeight="1" x14ac:dyDescent="0.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row>
    <row r="408" spans="1:27" ht="12.75" customHeight="1" x14ac:dyDescent="0.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row>
    <row r="409" spans="1:27" ht="12.75" customHeight="1" x14ac:dyDescent="0.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row>
    <row r="410" spans="1:27" ht="12.75" customHeight="1" x14ac:dyDescent="0.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row>
    <row r="411" spans="1:27" ht="12.75" customHeight="1" x14ac:dyDescent="0.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row>
    <row r="412" spans="1:27" ht="12.75" customHeight="1" x14ac:dyDescent="0.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row>
    <row r="413" spans="1:27" ht="12.75" customHeight="1" x14ac:dyDescent="0.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row>
    <row r="414" spans="1:27" ht="12.75" customHeight="1" x14ac:dyDescent="0.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row>
    <row r="415" spans="1:27" ht="12.75" customHeight="1" x14ac:dyDescent="0.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row>
    <row r="416" spans="1:27" ht="12.75" customHeight="1" x14ac:dyDescent="0.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row>
    <row r="417" spans="1:27" ht="12.75" customHeight="1" x14ac:dyDescent="0.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row>
    <row r="418" spans="1:27" ht="12.75" customHeight="1" x14ac:dyDescent="0.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row>
    <row r="419" spans="1:27" ht="12.75" customHeight="1" x14ac:dyDescent="0.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row>
    <row r="420" spans="1:27" ht="12.75" customHeight="1" x14ac:dyDescent="0.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row>
    <row r="421" spans="1:27" ht="12.75" customHeight="1" x14ac:dyDescent="0.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row>
    <row r="422" spans="1:27" ht="12.75" customHeight="1" x14ac:dyDescent="0.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row>
    <row r="423" spans="1:27" ht="12.75" customHeight="1" x14ac:dyDescent="0.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row>
    <row r="424" spans="1:27" ht="12.75" customHeight="1" x14ac:dyDescent="0.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row>
    <row r="425" spans="1:27" ht="12.75" customHeight="1" x14ac:dyDescent="0.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row>
    <row r="426" spans="1:27" ht="12.75" customHeight="1" x14ac:dyDescent="0.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row>
    <row r="427" spans="1:27" ht="12.75" customHeight="1" x14ac:dyDescent="0.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row>
    <row r="428" spans="1:27" ht="12.75" customHeight="1" x14ac:dyDescent="0.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row>
    <row r="429" spans="1:27" ht="12.75" customHeight="1" x14ac:dyDescent="0.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row>
    <row r="430" spans="1:27" ht="12.75" customHeight="1" x14ac:dyDescent="0.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row>
    <row r="431" spans="1:27" ht="12.75" customHeight="1" x14ac:dyDescent="0.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row>
    <row r="432" spans="1:27" ht="12.75" customHeight="1" x14ac:dyDescent="0.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row>
    <row r="433" spans="1:27" ht="12.75" customHeight="1" x14ac:dyDescent="0.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row>
    <row r="434" spans="1:27" ht="12.75" customHeight="1" x14ac:dyDescent="0.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row>
    <row r="435" spans="1:27" ht="12.75" customHeight="1" x14ac:dyDescent="0.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row>
    <row r="436" spans="1:27" ht="12.75" customHeight="1" x14ac:dyDescent="0.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row>
    <row r="437" spans="1:27" ht="12.75" customHeight="1" x14ac:dyDescent="0.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row>
    <row r="438" spans="1:27" ht="12.75" customHeight="1" x14ac:dyDescent="0.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row>
    <row r="439" spans="1:27" ht="12.75" customHeight="1" x14ac:dyDescent="0.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row>
    <row r="440" spans="1:27" ht="12.75" customHeight="1" x14ac:dyDescent="0.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row>
    <row r="441" spans="1:27" ht="12.75" customHeight="1" x14ac:dyDescent="0.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row>
    <row r="442" spans="1:27" ht="12.75" customHeight="1" x14ac:dyDescent="0.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row>
    <row r="443" spans="1:27" ht="12.75" customHeight="1" x14ac:dyDescent="0.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row>
    <row r="444" spans="1:27" ht="12.75" customHeight="1" x14ac:dyDescent="0.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row>
    <row r="445" spans="1:27" ht="12.75" customHeight="1" x14ac:dyDescent="0.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row>
    <row r="446" spans="1:27" ht="12.75" customHeight="1" x14ac:dyDescent="0.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row>
    <row r="447" spans="1:27" ht="12.75" customHeight="1" x14ac:dyDescent="0.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row>
    <row r="448" spans="1:27" ht="12.75" customHeight="1" x14ac:dyDescent="0.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row>
    <row r="449" spans="1:27" ht="12.75" customHeight="1" x14ac:dyDescent="0.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row>
    <row r="450" spans="1:27" ht="12.75" customHeight="1" x14ac:dyDescent="0.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row>
    <row r="451" spans="1:27" ht="12.75" customHeight="1" x14ac:dyDescent="0.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row>
    <row r="452" spans="1:27" ht="12.75" customHeight="1" x14ac:dyDescent="0.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row>
    <row r="453" spans="1:27" ht="12.75" customHeight="1" x14ac:dyDescent="0.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row>
    <row r="454" spans="1:27" ht="12.75" customHeight="1" x14ac:dyDescent="0.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row>
    <row r="455" spans="1:27" ht="12.75" customHeight="1" x14ac:dyDescent="0.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row>
    <row r="456" spans="1:27" ht="12.75" customHeight="1" x14ac:dyDescent="0.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row>
    <row r="457" spans="1:27" ht="12.75" customHeight="1" x14ac:dyDescent="0.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row>
    <row r="458" spans="1:27" ht="12.75" customHeight="1" x14ac:dyDescent="0.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row>
    <row r="459" spans="1:27" ht="12.75" customHeight="1" x14ac:dyDescent="0.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row>
    <row r="460" spans="1:27" ht="12.75" customHeight="1" x14ac:dyDescent="0.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row>
    <row r="461" spans="1:27" ht="12.75" customHeight="1" x14ac:dyDescent="0.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row>
    <row r="462" spans="1:27" ht="12.75" customHeight="1" x14ac:dyDescent="0.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row>
    <row r="463" spans="1:27" ht="12.75" customHeight="1" x14ac:dyDescent="0.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row>
    <row r="464" spans="1:27" ht="12.75" customHeight="1" x14ac:dyDescent="0.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row>
    <row r="465" spans="1:27" ht="12.75" customHeight="1" x14ac:dyDescent="0.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row>
    <row r="466" spans="1:27" ht="12.75" customHeight="1" x14ac:dyDescent="0.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row>
    <row r="467" spans="1:27" ht="12.75" customHeight="1" x14ac:dyDescent="0.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row>
    <row r="468" spans="1:27" ht="12.75" customHeight="1" x14ac:dyDescent="0.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row>
    <row r="469" spans="1:27" ht="12.75" customHeight="1" x14ac:dyDescent="0.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row>
    <row r="470" spans="1:27" ht="12.75" customHeight="1" x14ac:dyDescent="0.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row>
    <row r="471" spans="1:27" ht="12.75" customHeight="1" x14ac:dyDescent="0.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row>
    <row r="472" spans="1:27" ht="12.75" customHeight="1" x14ac:dyDescent="0.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row>
    <row r="473" spans="1:27" ht="12.75" customHeight="1" x14ac:dyDescent="0.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row>
    <row r="474" spans="1:27" ht="12.75" customHeight="1" x14ac:dyDescent="0.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row>
    <row r="475" spans="1:27" ht="12.75" customHeight="1" x14ac:dyDescent="0.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row>
    <row r="476" spans="1:27" ht="12.75" customHeight="1" x14ac:dyDescent="0.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row>
    <row r="477" spans="1:27" ht="12.75" customHeight="1" x14ac:dyDescent="0.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row>
    <row r="478" spans="1:27" ht="12.75" customHeight="1" x14ac:dyDescent="0.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row>
    <row r="479" spans="1:27" ht="12.75" customHeight="1" x14ac:dyDescent="0.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row>
    <row r="480" spans="1:27" ht="12.75" customHeight="1" x14ac:dyDescent="0.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row>
    <row r="481" spans="1:27" ht="12.75" customHeight="1" x14ac:dyDescent="0.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row>
    <row r="482" spans="1:27" ht="12.75" customHeight="1" x14ac:dyDescent="0.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row>
    <row r="483" spans="1:27" ht="12.75" customHeight="1" x14ac:dyDescent="0.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row>
    <row r="484" spans="1:27" ht="12.75" customHeight="1" x14ac:dyDescent="0.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row>
    <row r="485" spans="1:27" ht="12.75" customHeight="1" x14ac:dyDescent="0.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row>
    <row r="486" spans="1:27" ht="12.75" customHeight="1" x14ac:dyDescent="0.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row>
    <row r="487" spans="1:27" ht="12.75" customHeight="1" x14ac:dyDescent="0.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row>
    <row r="488" spans="1:27" ht="12.75" customHeight="1" x14ac:dyDescent="0.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row>
    <row r="489" spans="1:27" ht="12.75" customHeight="1" x14ac:dyDescent="0.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row>
    <row r="490" spans="1:27" ht="12.75" customHeight="1" x14ac:dyDescent="0.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row>
    <row r="491" spans="1:27" ht="12.75" customHeight="1" x14ac:dyDescent="0.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row>
    <row r="492" spans="1:27" ht="12.75" customHeight="1" x14ac:dyDescent="0.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row>
    <row r="493" spans="1:27" ht="12.75" customHeight="1" x14ac:dyDescent="0.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row>
    <row r="494" spans="1:27" ht="12.75" customHeight="1" x14ac:dyDescent="0.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row>
    <row r="495" spans="1:27" ht="12.75" customHeight="1" x14ac:dyDescent="0.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row>
    <row r="496" spans="1:27" ht="12.75" customHeight="1" x14ac:dyDescent="0.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row>
    <row r="497" spans="1:27" ht="12.75" customHeight="1" x14ac:dyDescent="0.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row>
    <row r="498" spans="1:27" ht="12.75" customHeight="1" x14ac:dyDescent="0.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row>
    <row r="499" spans="1:27" ht="12.75" customHeight="1" x14ac:dyDescent="0.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row>
    <row r="500" spans="1:27" ht="12.75" customHeight="1" x14ac:dyDescent="0.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row>
    <row r="501" spans="1:27" ht="12.75" customHeight="1" x14ac:dyDescent="0.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row>
    <row r="502" spans="1:27" ht="12.75" customHeight="1" x14ac:dyDescent="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row>
    <row r="503" spans="1:27" ht="12.75" customHeight="1" x14ac:dyDescent="0.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row>
    <row r="504" spans="1:27" ht="12.75" customHeight="1" x14ac:dyDescent="0.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row>
    <row r="505" spans="1:27" ht="12.75" customHeight="1" x14ac:dyDescent="0.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row>
    <row r="506" spans="1:27" ht="12.75" customHeight="1" x14ac:dyDescent="0.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row>
    <row r="507" spans="1:27" ht="12.75" customHeight="1" x14ac:dyDescent="0.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row>
    <row r="508" spans="1:27" ht="12.75" customHeight="1" x14ac:dyDescent="0.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row>
    <row r="509" spans="1:27" ht="12.75" customHeight="1" x14ac:dyDescent="0.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row>
    <row r="510" spans="1:27" ht="12.75" customHeight="1" x14ac:dyDescent="0.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row>
    <row r="511" spans="1:27" ht="12.75" customHeight="1" x14ac:dyDescent="0.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row>
    <row r="512" spans="1:27" ht="12.75" customHeight="1" x14ac:dyDescent="0.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row>
    <row r="513" spans="1:27" ht="12.75" customHeight="1" x14ac:dyDescent="0.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row>
    <row r="514" spans="1:27" ht="12.75" customHeight="1" x14ac:dyDescent="0.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row>
    <row r="515" spans="1:27" ht="12.75" customHeight="1" x14ac:dyDescent="0.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row>
    <row r="516" spans="1:27" ht="12.75" customHeight="1" x14ac:dyDescent="0.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row>
    <row r="517" spans="1:27" ht="12.75" customHeight="1" x14ac:dyDescent="0.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row>
    <row r="518" spans="1:27" ht="12.75" customHeight="1" x14ac:dyDescent="0.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row>
    <row r="519" spans="1:27" ht="12.75" customHeight="1" x14ac:dyDescent="0.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row>
    <row r="520" spans="1:27" ht="12.75" customHeight="1" x14ac:dyDescent="0.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row>
    <row r="521" spans="1:27" ht="12.75" customHeight="1" x14ac:dyDescent="0.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row>
    <row r="522" spans="1:27" ht="12.75" customHeight="1" x14ac:dyDescent="0.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row>
    <row r="523" spans="1:27" ht="12.75" customHeight="1" x14ac:dyDescent="0.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row>
    <row r="524" spans="1:27" ht="12.75" customHeight="1" x14ac:dyDescent="0.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row>
    <row r="525" spans="1:27" ht="12.75" customHeight="1" x14ac:dyDescent="0.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row>
    <row r="526" spans="1:27" ht="12.75" customHeight="1" x14ac:dyDescent="0.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row>
    <row r="527" spans="1:27" ht="12.75" customHeight="1" x14ac:dyDescent="0.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row>
    <row r="528" spans="1:27" ht="12.75" customHeight="1" x14ac:dyDescent="0.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row>
    <row r="529" spans="1:27" ht="12.75" customHeight="1" x14ac:dyDescent="0.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row>
    <row r="530" spans="1:27" ht="12.75" customHeight="1" x14ac:dyDescent="0.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row>
    <row r="531" spans="1:27" ht="12.75" customHeight="1" x14ac:dyDescent="0.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row>
    <row r="532" spans="1:27" ht="12.75" customHeight="1" x14ac:dyDescent="0.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row>
    <row r="533" spans="1:27" ht="12.75" customHeight="1" x14ac:dyDescent="0.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row>
    <row r="534" spans="1:27" ht="12.75" customHeight="1" x14ac:dyDescent="0.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row>
    <row r="535" spans="1:27" ht="12.75" customHeight="1" x14ac:dyDescent="0.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row>
    <row r="536" spans="1:27" ht="12.75" customHeight="1" x14ac:dyDescent="0.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row>
    <row r="537" spans="1:27" ht="12.75" customHeight="1" x14ac:dyDescent="0.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row>
    <row r="538" spans="1:27" ht="12.75" customHeight="1" x14ac:dyDescent="0.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row>
    <row r="539" spans="1:27" ht="12.75" customHeight="1" x14ac:dyDescent="0.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row>
    <row r="540" spans="1:27" ht="12.75" customHeight="1" x14ac:dyDescent="0.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row>
    <row r="541" spans="1:27" ht="12.75" customHeight="1" x14ac:dyDescent="0.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row>
    <row r="542" spans="1:27" ht="12.75" customHeight="1" x14ac:dyDescent="0.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row>
    <row r="543" spans="1:27" ht="12.75" customHeight="1" x14ac:dyDescent="0.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row>
    <row r="544" spans="1:27" ht="12.75" customHeight="1" x14ac:dyDescent="0.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row>
    <row r="545" spans="1:27" ht="12.75" customHeight="1" x14ac:dyDescent="0.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row>
    <row r="546" spans="1:27" ht="12.75" customHeight="1" x14ac:dyDescent="0.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row>
    <row r="547" spans="1:27" ht="12.75" customHeight="1" x14ac:dyDescent="0.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row>
    <row r="548" spans="1:27" ht="12.75" customHeight="1" x14ac:dyDescent="0.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row>
    <row r="549" spans="1:27" ht="12.75" customHeight="1" x14ac:dyDescent="0.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row>
    <row r="550" spans="1:27" ht="12.75" customHeight="1" x14ac:dyDescent="0.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row>
    <row r="551" spans="1:27" ht="12.75" customHeight="1" x14ac:dyDescent="0.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row>
    <row r="552" spans="1:27" ht="12.75" customHeight="1" x14ac:dyDescent="0.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row>
    <row r="553" spans="1:27" ht="12.75" customHeight="1" x14ac:dyDescent="0.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row>
    <row r="554" spans="1:27" ht="12.75" customHeight="1" x14ac:dyDescent="0.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row>
    <row r="555" spans="1:27" ht="12.75" customHeight="1" x14ac:dyDescent="0.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row>
    <row r="556" spans="1:27" ht="12.75" customHeight="1" x14ac:dyDescent="0.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row>
    <row r="557" spans="1:27" ht="12.75" customHeight="1" x14ac:dyDescent="0.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row>
    <row r="558" spans="1:27" ht="12.75" customHeight="1" x14ac:dyDescent="0.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row>
    <row r="559" spans="1:27" ht="12.75" customHeight="1" x14ac:dyDescent="0.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row>
    <row r="560" spans="1:27" ht="12.75" customHeight="1" x14ac:dyDescent="0.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row>
    <row r="561" spans="1:27" ht="12.75" customHeight="1" x14ac:dyDescent="0.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row>
    <row r="562" spans="1:27" ht="12.75" customHeight="1" x14ac:dyDescent="0.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row>
    <row r="563" spans="1:27" ht="12.75" customHeight="1" x14ac:dyDescent="0.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row>
    <row r="564" spans="1:27" ht="12.75" customHeight="1" x14ac:dyDescent="0.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row>
    <row r="565" spans="1:27" ht="12.75" customHeight="1" x14ac:dyDescent="0.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row>
    <row r="566" spans="1:27" ht="12.75" customHeight="1" x14ac:dyDescent="0.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row>
    <row r="567" spans="1:27" ht="12.75" customHeight="1" x14ac:dyDescent="0.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row>
    <row r="568" spans="1:27" ht="12.75" customHeight="1" x14ac:dyDescent="0.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row>
    <row r="569" spans="1:27" ht="12.75" customHeight="1" x14ac:dyDescent="0.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row>
    <row r="570" spans="1:27" ht="12.75" customHeight="1" x14ac:dyDescent="0.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row>
    <row r="571" spans="1:27" ht="12.75" customHeight="1" x14ac:dyDescent="0.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row>
    <row r="572" spans="1:27" ht="12.75" customHeight="1" x14ac:dyDescent="0.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row>
    <row r="573" spans="1:27" ht="12.75" customHeight="1" x14ac:dyDescent="0.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row>
    <row r="574" spans="1:27" ht="12.75" customHeight="1" x14ac:dyDescent="0.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row>
    <row r="575" spans="1:27" ht="12.75" customHeight="1" x14ac:dyDescent="0.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row>
    <row r="576" spans="1:27" ht="12.75" customHeight="1" x14ac:dyDescent="0.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row>
    <row r="577" spans="1:27" ht="12.75" customHeight="1" x14ac:dyDescent="0.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row>
    <row r="578" spans="1:27" ht="12.75" customHeight="1" x14ac:dyDescent="0.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row>
    <row r="579" spans="1:27" ht="12.75" customHeight="1" x14ac:dyDescent="0.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row>
    <row r="580" spans="1:27" ht="12.75" customHeight="1" x14ac:dyDescent="0.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row>
    <row r="581" spans="1:27" ht="12.75" customHeight="1" x14ac:dyDescent="0.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row>
    <row r="582" spans="1:27" ht="12.75" customHeight="1" x14ac:dyDescent="0.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row>
    <row r="583" spans="1:27" ht="12.75" customHeight="1" x14ac:dyDescent="0.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row>
    <row r="584" spans="1:27" ht="12.75" customHeight="1" x14ac:dyDescent="0.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row>
    <row r="585" spans="1:27" ht="12.75" customHeight="1" x14ac:dyDescent="0.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row>
    <row r="586" spans="1:27" ht="12.75" customHeight="1" x14ac:dyDescent="0.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row>
    <row r="587" spans="1:27" ht="12.75" customHeight="1" x14ac:dyDescent="0.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row>
    <row r="588" spans="1:27" ht="12.75" customHeight="1" x14ac:dyDescent="0.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row>
    <row r="589" spans="1:27" ht="12.75" customHeight="1" x14ac:dyDescent="0.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row>
    <row r="590" spans="1:27" ht="12.75" customHeight="1" x14ac:dyDescent="0.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row>
    <row r="591" spans="1:27" ht="12.75" customHeight="1" x14ac:dyDescent="0.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row>
    <row r="592" spans="1:27" ht="12.75" customHeight="1" x14ac:dyDescent="0.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row>
    <row r="593" spans="1:27" ht="12.75" customHeight="1" x14ac:dyDescent="0.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row>
    <row r="594" spans="1:27" ht="12.75" customHeight="1" x14ac:dyDescent="0.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row>
    <row r="595" spans="1:27" ht="12.75" customHeight="1" x14ac:dyDescent="0.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row>
    <row r="596" spans="1:27" ht="12.75" customHeight="1" x14ac:dyDescent="0.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row>
    <row r="597" spans="1:27" ht="12.75" customHeight="1" x14ac:dyDescent="0.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row>
    <row r="598" spans="1:27" ht="12.75" customHeight="1" x14ac:dyDescent="0.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row>
    <row r="599" spans="1:27" ht="12.75" customHeight="1" x14ac:dyDescent="0.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row>
    <row r="600" spans="1:27" ht="12.75" customHeight="1" x14ac:dyDescent="0.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row>
    <row r="601" spans="1:27" ht="12.75" customHeight="1" x14ac:dyDescent="0.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row>
    <row r="602" spans="1:27" ht="12.75" customHeight="1" x14ac:dyDescent="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row>
    <row r="603" spans="1:27" ht="12.75" customHeight="1" x14ac:dyDescent="0.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row>
    <row r="604" spans="1:27" ht="12.75" customHeight="1" x14ac:dyDescent="0.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row>
    <row r="605" spans="1:27" ht="12.75" customHeight="1" x14ac:dyDescent="0.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row>
    <row r="606" spans="1:27" ht="12.75" customHeight="1" x14ac:dyDescent="0.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row>
    <row r="607" spans="1:27" ht="12.75" customHeight="1" x14ac:dyDescent="0.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row>
    <row r="608" spans="1:27" ht="12.75" customHeight="1" x14ac:dyDescent="0.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row>
    <row r="609" spans="1:27" ht="12.75" customHeight="1" x14ac:dyDescent="0.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row>
    <row r="610" spans="1:27" ht="12.75" customHeight="1" x14ac:dyDescent="0.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row>
    <row r="611" spans="1:27" ht="12.75" customHeight="1" x14ac:dyDescent="0.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row>
    <row r="612" spans="1:27" ht="12.75" customHeight="1" x14ac:dyDescent="0.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row>
    <row r="613" spans="1:27" ht="12.75" customHeight="1" x14ac:dyDescent="0.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row>
    <row r="614" spans="1:27" ht="12.75" customHeight="1" x14ac:dyDescent="0.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row>
    <row r="615" spans="1:27" ht="12.75" customHeight="1" x14ac:dyDescent="0.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row>
    <row r="616" spans="1:27" ht="12.75" customHeight="1" x14ac:dyDescent="0.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row>
    <row r="617" spans="1:27" ht="12.75" customHeight="1" x14ac:dyDescent="0.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row>
    <row r="618" spans="1:27" ht="12.75" customHeight="1" x14ac:dyDescent="0.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row>
    <row r="619" spans="1:27" ht="12.75" customHeight="1" x14ac:dyDescent="0.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row>
    <row r="620" spans="1:27" ht="12.75" customHeight="1" x14ac:dyDescent="0.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row>
    <row r="621" spans="1:27" ht="12.75" customHeight="1" x14ac:dyDescent="0.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row>
    <row r="622" spans="1:27" ht="12.75" customHeight="1" x14ac:dyDescent="0.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row>
    <row r="623" spans="1:27" ht="12.75" customHeight="1" x14ac:dyDescent="0.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row>
    <row r="624" spans="1:27" ht="12.75" customHeight="1" x14ac:dyDescent="0.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row>
    <row r="625" spans="1:27" ht="12.75" customHeight="1" x14ac:dyDescent="0.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row>
    <row r="626" spans="1:27" ht="12.75" customHeight="1" x14ac:dyDescent="0.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row>
    <row r="627" spans="1:27" ht="12.75" customHeight="1" x14ac:dyDescent="0.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row>
    <row r="628" spans="1:27" ht="12.75" customHeight="1" x14ac:dyDescent="0.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row>
    <row r="629" spans="1:27" ht="12.75" customHeight="1" x14ac:dyDescent="0.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row>
    <row r="630" spans="1:27" ht="12.75" customHeight="1" x14ac:dyDescent="0.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row>
    <row r="631" spans="1:27" ht="12.75" customHeight="1" x14ac:dyDescent="0.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row>
    <row r="632" spans="1:27" ht="12.75" customHeight="1" x14ac:dyDescent="0.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row>
    <row r="633" spans="1:27" ht="12.75" customHeight="1" x14ac:dyDescent="0.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row>
    <row r="634" spans="1:27" ht="12.75" customHeight="1" x14ac:dyDescent="0.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row>
    <row r="635" spans="1:27" ht="12.75" customHeight="1" x14ac:dyDescent="0.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row>
    <row r="636" spans="1:27" ht="12.75" customHeight="1" x14ac:dyDescent="0.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row>
    <row r="637" spans="1:27" ht="12.75" customHeight="1" x14ac:dyDescent="0.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row>
    <row r="638" spans="1:27" ht="12.75" customHeight="1" x14ac:dyDescent="0.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row>
    <row r="639" spans="1:27" ht="12.75" customHeight="1" x14ac:dyDescent="0.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row>
    <row r="640" spans="1:27" ht="12.75" customHeight="1" x14ac:dyDescent="0.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row>
    <row r="641" spans="1:27" ht="12.75" customHeight="1" x14ac:dyDescent="0.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row>
    <row r="642" spans="1:27" ht="12.75" customHeight="1" x14ac:dyDescent="0.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row>
    <row r="643" spans="1:27" ht="12.75" customHeight="1" x14ac:dyDescent="0.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row>
    <row r="644" spans="1:27" ht="12.75" customHeight="1" x14ac:dyDescent="0.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row>
    <row r="645" spans="1:27" ht="12.75" customHeight="1" x14ac:dyDescent="0.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row>
    <row r="646" spans="1:27" ht="12.75" customHeight="1" x14ac:dyDescent="0.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row>
    <row r="647" spans="1:27" ht="12.75" customHeight="1" x14ac:dyDescent="0.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row>
    <row r="648" spans="1:27" ht="12.75" customHeight="1" x14ac:dyDescent="0.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row>
    <row r="649" spans="1:27" ht="12.75" customHeight="1" x14ac:dyDescent="0.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row>
    <row r="650" spans="1:27" ht="12.75" customHeight="1" x14ac:dyDescent="0.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row>
    <row r="651" spans="1:27" ht="12.75" customHeight="1" x14ac:dyDescent="0.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row>
    <row r="652" spans="1:27" ht="12.75" customHeight="1" x14ac:dyDescent="0.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row>
    <row r="653" spans="1:27" ht="12.75" customHeight="1" x14ac:dyDescent="0.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row>
    <row r="654" spans="1:27" ht="12.75" customHeight="1" x14ac:dyDescent="0.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row>
    <row r="655" spans="1:27" ht="12.75" customHeight="1" x14ac:dyDescent="0.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row>
    <row r="656" spans="1:27" ht="12.75" customHeight="1" x14ac:dyDescent="0.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row>
    <row r="657" spans="1:27" ht="12.75" customHeight="1" x14ac:dyDescent="0.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row>
    <row r="658" spans="1:27" ht="12.75" customHeight="1" x14ac:dyDescent="0.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row>
    <row r="659" spans="1:27" ht="12.75" customHeight="1" x14ac:dyDescent="0.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row>
    <row r="660" spans="1:27" ht="12.75" customHeight="1" x14ac:dyDescent="0.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row>
    <row r="661" spans="1:27" ht="12.75" customHeight="1" x14ac:dyDescent="0.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row>
    <row r="662" spans="1:27" ht="12.75" customHeight="1" x14ac:dyDescent="0.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row>
    <row r="663" spans="1:27" ht="12.75" customHeight="1" x14ac:dyDescent="0.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row>
    <row r="664" spans="1:27" ht="12.75" customHeight="1" x14ac:dyDescent="0.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row>
    <row r="665" spans="1:27" ht="12.75" customHeight="1" x14ac:dyDescent="0.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row>
    <row r="666" spans="1:27" ht="12.75" customHeight="1" x14ac:dyDescent="0.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row>
    <row r="667" spans="1:27" ht="12.75" customHeight="1" x14ac:dyDescent="0.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row>
    <row r="668" spans="1:27" ht="12.75" customHeight="1" x14ac:dyDescent="0.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row>
    <row r="669" spans="1:27" ht="12.75" customHeight="1" x14ac:dyDescent="0.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row>
    <row r="670" spans="1:27" ht="12.75" customHeight="1" x14ac:dyDescent="0.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row>
    <row r="671" spans="1:27" ht="12.75" customHeight="1" x14ac:dyDescent="0.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row>
    <row r="672" spans="1:27" ht="12.75" customHeight="1" x14ac:dyDescent="0.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row>
    <row r="673" spans="1:27" ht="12.75" customHeight="1" x14ac:dyDescent="0.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row>
    <row r="674" spans="1:27" ht="12.75" customHeight="1" x14ac:dyDescent="0.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row>
    <row r="675" spans="1:27" ht="12.75" customHeight="1" x14ac:dyDescent="0.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row>
    <row r="676" spans="1:27" ht="12.75" customHeight="1" x14ac:dyDescent="0.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row>
    <row r="677" spans="1:27" ht="12.75" customHeight="1" x14ac:dyDescent="0.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row>
    <row r="678" spans="1:27" ht="12.75" customHeight="1" x14ac:dyDescent="0.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row>
    <row r="679" spans="1:27" ht="12.75" customHeight="1" x14ac:dyDescent="0.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row>
    <row r="680" spans="1:27" ht="12.75" customHeight="1" x14ac:dyDescent="0.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row>
    <row r="681" spans="1:27" ht="12.75" customHeight="1" x14ac:dyDescent="0.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row>
    <row r="682" spans="1:27" ht="12.75" customHeight="1" x14ac:dyDescent="0.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row>
    <row r="683" spans="1:27" ht="12.75" customHeight="1" x14ac:dyDescent="0.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row>
    <row r="684" spans="1:27" ht="12.75" customHeight="1" x14ac:dyDescent="0.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row>
    <row r="685" spans="1:27" ht="12.75" customHeight="1" x14ac:dyDescent="0.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row>
    <row r="686" spans="1:27" ht="12.75" customHeight="1" x14ac:dyDescent="0.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row>
    <row r="687" spans="1:27" ht="12.75" customHeight="1" x14ac:dyDescent="0.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row>
    <row r="688" spans="1:27" ht="12.75" customHeight="1" x14ac:dyDescent="0.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row>
    <row r="689" spans="1:27" ht="12.75" customHeight="1" x14ac:dyDescent="0.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row>
    <row r="690" spans="1:27" ht="12.75" customHeight="1" x14ac:dyDescent="0.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row>
    <row r="691" spans="1:27" ht="12.75" customHeight="1" x14ac:dyDescent="0.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row>
    <row r="692" spans="1:27" ht="12.75" customHeight="1" x14ac:dyDescent="0.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row>
    <row r="693" spans="1:27" ht="12.75" customHeight="1" x14ac:dyDescent="0.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row>
    <row r="694" spans="1:27" ht="12.75" customHeight="1" x14ac:dyDescent="0.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row>
    <row r="695" spans="1:27" ht="12.75" customHeight="1" x14ac:dyDescent="0.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row>
    <row r="696" spans="1:27" ht="12.75" customHeight="1" x14ac:dyDescent="0.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row>
    <row r="697" spans="1:27" ht="12.75" customHeight="1" x14ac:dyDescent="0.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row>
    <row r="698" spans="1:27" ht="12.75" customHeight="1" x14ac:dyDescent="0.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row>
    <row r="699" spans="1:27" ht="12.75" customHeight="1" x14ac:dyDescent="0.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row>
    <row r="700" spans="1:27" ht="12.75" customHeight="1" x14ac:dyDescent="0.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row>
    <row r="701" spans="1:27" ht="12.75" customHeight="1" x14ac:dyDescent="0.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row>
    <row r="702" spans="1:27" ht="12.75" customHeight="1" x14ac:dyDescent="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row>
    <row r="703" spans="1:27" ht="12.75" customHeight="1" x14ac:dyDescent="0.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row>
    <row r="704" spans="1:27" ht="12.75" customHeight="1" x14ac:dyDescent="0.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row>
    <row r="705" spans="1:27" ht="12.75" customHeight="1" x14ac:dyDescent="0.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row>
    <row r="706" spans="1:27" ht="12.75" customHeight="1" x14ac:dyDescent="0.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row>
    <row r="707" spans="1:27" ht="12.75" customHeight="1" x14ac:dyDescent="0.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row>
    <row r="708" spans="1:27" ht="12.75" customHeight="1" x14ac:dyDescent="0.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row>
    <row r="709" spans="1:27" ht="12.75" customHeight="1" x14ac:dyDescent="0.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row>
    <row r="710" spans="1:27" ht="12.75" customHeight="1" x14ac:dyDescent="0.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row>
    <row r="711" spans="1:27" ht="12.75" customHeight="1" x14ac:dyDescent="0.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row>
    <row r="712" spans="1:27" ht="12.75" customHeight="1" x14ac:dyDescent="0.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row>
    <row r="713" spans="1:27" ht="12.75" customHeight="1" x14ac:dyDescent="0.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row>
    <row r="714" spans="1:27" ht="12.75" customHeight="1" x14ac:dyDescent="0.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row>
    <row r="715" spans="1:27" ht="12.75" customHeight="1" x14ac:dyDescent="0.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row>
    <row r="716" spans="1:27" ht="12.75" customHeight="1" x14ac:dyDescent="0.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row>
    <row r="717" spans="1:27" ht="12.75" customHeight="1" x14ac:dyDescent="0.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row>
    <row r="718" spans="1:27" ht="12.75" customHeight="1" x14ac:dyDescent="0.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row>
    <row r="719" spans="1:27" ht="12.75" customHeight="1" x14ac:dyDescent="0.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row>
    <row r="720" spans="1:27" ht="12.75" customHeight="1" x14ac:dyDescent="0.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row>
    <row r="721" spans="1:27" ht="12.75" customHeight="1" x14ac:dyDescent="0.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row>
    <row r="722" spans="1:27" ht="12.75" customHeight="1" x14ac:dyDescent="0.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row>
    <row r="723" spans="1:27" ht="12.75" customHeight="1" x14ac:dyDescent="0.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row>
    <row r="724" spans="1:27" ht="12.75" customHeight="1" x14ac:dyDescent="0.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row>
    <row r="725" spans="1:27" ht="12.75" customHeight="1" x14ac:dyDescent="0.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row>
    <row r="726" spans="1:27" ht="12.75" customHeight="1" x14ac:dyDescent="0.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row>
    <row r="727" spans="1:27" ht="12.75" customHeight="1" x14ac:dyDescent="0.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row>
    <row r="728" spans="1:27" ht="12.75" customHeight="1" x14ac:dyDescent="0.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row>
    <row r="729" spans="1:27" ht="12.75" customHeight="1" x14ac:dyDescent="0.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row>
    <row r="730" spans="1:27" ht="12.75" customHeight="1" x14ac:dyDescent="0.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row>
    <row r="731" spans="1:27" ht="12.75" customHeight="1" x14ac:dyDescent="0.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row>
    <row r="732" spans="1:27" ht="12.75" customHeight="1" x14ac:dyDescent="0.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row>
    <row r="733" spans="1:27" ht="12.75" customHeight="1" x14ac:dyDescent="0.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row>
    <row r="734" spans="1:27" ht="12.75" customHeight="1" x14ac:dyDescent="0.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row>
    <row r="735" spans="1:27" ht="12.75" customHeight="1" x14ac:dyDescent="0.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row>
    <row r="736" spans="1:27" ht="12.75" customHeight="1" x14ac:dyDescent="0.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row>
    <row r="737" spans="1:27" ht="12.75" customHeight="1" x14ac:dyDescent="0.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row>
    <row r="738" spans="1:27" ht="12.75" customHeight="1" x14ac:dyDescent="0.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row>
    <row r="739" spans="1:27" ht="12.75" customHeight="1" x14ac:dyDescent="0.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row>
    <row r="740" spans="1:27" ht="12.75" customHeight="1" x14ac:dyDescent="0.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row>
    <row r="741" spans="1:27" ht="12.75" customHeight="1" x14ac:dyDescent="0.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row>
    <row r="742" spans="1:27" ht="12.75" customHeight="1" x14ac:dyDescent="0.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row>
    <row r="743" spans="1:27" ht="12.75" customHeight="1" x14ac:dyDescent="0.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row>
    <row r="744" spans="1:27" ht="12.75" customHeight="1" x14ac:dyDescent="0.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row>
    <row r="745" spans="1:27" ht="12.75" customHeight="1" x14ac:dyDescent="0.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row>
    <row r="746" spans="1:27" ht="12.75" customHeight="1" x14ac:dyDescent="0.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row>
    <row r="747" spans="1:27" ht="12.75" customHeight="1" x14ac:dyDescent="0.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row>
    <row r="748" spans="1:27" ht="12.75" customHeight="1" x14ac:dyDescent="0.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row>
    <row r="749" spans="1:27" ht="12.75" customHeight="1" x14ac:dyDescent="0.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row>
    <row r="750" spans="1:27" ht="12.75" customHeight="1" x14ac:dyDescent="0.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row>
    <row r="751" spans="1:27" ht="12.75" customHeight="1" x14ac:dyDescent="0.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row>
    <row r="752" spans="1:27" ht="12.75" customHeight="1" x14ac:dyDescent="0.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row>
    <row r="753" spans="1:27" ht="12.75" customHeight="1" x14ac:dyDescent="0.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row>
    <row r="754" spans="1:27" ht="12.75" customHeight="1" x14ac:dyDescent="0.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row>
    <row r="755" spans="1:27" ht="12.75" customHeight="1" x14ac:dyDescent="0.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row>
    <row r="756" spans="1:27" ht="12.75" customHeight="1" x14ac:dyDescent="0.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row>
    <row r="757" spans="1:27" ht="12.75" customHeight="1" x14ac:dyDescent="0.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row>
    <row r="758" spans="1:27" ht="12.75" customHeight="1" x14ac:dyDescent="0.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row>
    <row r="759" spans="1:27" ht="12.75" customHeight="1" x14ac:dyDescent="0.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row>
    <row r="760" spans="1:27" ht="12.75" customHeight="1" x14ac:dyDescent="0.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row>
    <row r="761" spans="1:27" ht="12.75" customHeight="1" x14ac:dyDescent="0.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row>
    <row r="762" spans="1:27" ht="12.75" customHeight="1" x14ac:dyDescent="0.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row>
    <row r="763" spans="1:27" ht="12.75" customHeight="1" x14ac:dyDescent="0.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row>
    <row r="764" spans="1:27" ht="12.75" customHeight="1" x14ac:dyDescent="0.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row>
    <row r="765" spans="1:27" ht="12.75" customHeight="1" x14ac:dyDescent="0.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row>
    <row r="766" spans="1:27" ht="12.75" customHeight="1" x14ac:dyDescent="0.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row>
    <row r="767" spans="1:27" ht="12.75" customHeight="1" x14ac:dyDescent="0.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row>
    <row r="768" spans="1:27" ht="12.75" customHeight="1" x14ac:dyDescent="0.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row>
    <row r="769" spans="1:27" ht="12.75" customHeight="1" x14ac:dyDescent="0.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row>
    <row r="770" spans="1:27" ht="12.75" customHeight="1" x14ac:dyDescent="0.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row>
    <row r="771" spans="1:27" ht="12.75" customHeight="1" x14ac:dyDescent="0.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row>
    <row r="772" spans="1:27" ht="12.75" customHeight="1" x14ac:dyDescent="0.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row>
    <row r="773" spans="1:27" ht="12.75" customHeight="1" x14ac:dyDescent="0.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row>
    <row r="774" spans="1:27" ht="12.75" customHeight="1" x14ac:dyDescent="0.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row>
    <row r="775" spans="1:27" ht="12.75" customHeight="1" x14ac:dyDescent="0.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row>
    <row r="776" spans="1:27" ht="12.75" customHeight="1" x14ac:dyDescent="0.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row>
    <row r="777" spans="1:27" ht="12.75" customHeight="1" x14ac:dyDescent="0.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row>
    <row r="778" spans="1:27" ht="12.75" customHeight="1" x14ac:dyDescent="0.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row>
    <row r="779" spans="1:27" ht="12.75" customHeight="1" x14ac:dyDescent="0.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row>
    <row r="780" spans="1:27" ht="12.75" customHeight="1" x14ac:dyDescent="0.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row>
    <row r="781" spans="1:27" ht="12.75" customHeight="1" x14ac:dyDescent="0.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row>
    <row r="782" spans="1:27" ht="12.75" customHeight="1" x14ac:dyDescent="0.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row>
    <row r="783" spans="1:27" ht="12.75" customHeight="1" x14ac:dyDescent="0.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row>
    <row r="784" spans="1:27" ht="12.75" customHeight="1" x14ac:dyDescent="0.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row>
    <row r="785" spans="1:27" ht="12.75" customHeight="1" x14ac:dyDescent="0.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row>
    <row r="786" spans="1:27" ht="12.75" customHeight="1" x14ac:dyDescent="0.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row>
    <row r="787" spans="1:27" ht="12.75" customHeight="1" x14ac:dyDescent="0.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row>
    <row r="788" spans="1:27" ht="12.75" customHeight="1" x14ac:dyDescent="0.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row>
    <row r="789" spans="1:27" ht="12.75" customHeight="1" x14ac:dyDescent="0.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row>
    <row r="790" spans="1:27" ht="12.75" customHeight="1" x14ac:dyDescent="0.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row>
    <row r="791" spans="1:27" ht="12.75" customHeight="1" x14ac:dyDescent="0.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row>
    <row r="792" spans="1:27" ht="12.75" customHeight="1" x14ac:dyDescent="0.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row>
    <row r="793" spans="1:27" ht="12.75" customHeight="1" x14ac:dyDescent="0.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row>
    <row r="794" spans="1:27" ht="12.75" customHeight="1" x14ac:dyDescent="0.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row>
    <row r="795" spans="1:27" ht="12.75" customHeight="1" x14ac:dyDescent="0.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row>
    <row r="796" spans="1:27" ht="12.75" customHeight="1" x14ac:dyDescent="0.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row>
    <row r="797" spans="1:27" ht="12.75" customHeight="1" x14ac:dyDescent="0.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row>
    <row r="798" spans="1:27" ht="12.75" customHeight="1" x14ac:dyDescent="0.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row>
    <row r="799" spans="1:27" ht="12.75" customHeight="1" x14ac:dyDescent="0.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row>
    <row r="800" spans="1:27" ht="12.75" customHeight="1" x14ac:dyDescent="0.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row>
    <row r="801" spans="1:27" ht="12.75" customHeight="1" x14ac:dyDescent="0.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row>
    <row r="802" spans="1:27" ht="12.75" customHeight="1" x14ac:dyDescent="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row>
    <row r="803" spans="1:27" ht="12.75" customHeight="1" x14ac:dyDescent="0.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row>
    <row r="804" spans="1:27" ht="12.75" customHeight="1" x14ac:dyDescent="0.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row>
    <row r="805" spans="1:27" ht="12.75" customHeight="1" x14ac:dyDescent="0.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row>
    <row r="806" spans="1:27" ht="12.75" customHeight="1" x14ac:dyDescent="0.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row>
    <row r="807" spans="1:27" ht="12.75" customHeight="1" x14ac:dyDescent="0.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row>
    <row r="808" spans="1:27" ht="12.75" customHeight="1" x14ac:dyDescent="0.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row>
    <row r="809" spans="1:27" ht="12.75" customHeight="1" x14ac:dyDescent="0.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row>
    <row r="810" spans="1:27" ht="12.75" customHeight="1" x14ac:dyDescent="0.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row>
    <row r="811" spans="1:27" ht="12.75" customHeight="1" x14ac:dyDescent="0.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row>
    <row r="812" spans="1:27" ht="12.75" customHeight="1" x14ac:dyDescent="0.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row>
    <row r="813" spans="1:27" ht="12.75" customHeight="1" x14ac:dyDescent="0.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row>
    <row r="814" spans="1:27" ht="12.75" customHeight="1" x14ac:dyDescent="0.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row>
    <row r="815" spans="1:27" ht="12.75" customHeight="1" x14ac:dyDescent="0.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row>
    <row r="816" spans="1:27" ht="12.75" customHeight="1" x14ac:dyDescent="0.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row>
    <row r="817" spans="1:27" ht="12.75" customHeight="1" x14ac:dyDescent="0.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row>
    <row r="818" spans="1:27" ht="12.75" customHeight="1" x14ac:dyDescent="0.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row>
    <row r="819" spans="1:27" ht="12.75" customHeight="1" x14ac:dyDescent="0.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row>
    <row r="820" spans="1:27" ht="12.75" customHeight="1" x14ac:dyDescent="0.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row>
    <row r="821" spans="1:27" ht="12.75" customHeight="1" x14ac:dyDescent="0.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row>
    <row r="822" spans="1:27" ht="12.75" customHeight="1" x14ac:dyDescent="0.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row>
    <row r="823" spans="1:27" ht="12.75" customHeight="1" x14ac:dyDescent="0.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row>
    <row r="824" spans="1:27" ht="12.75" customHeight="1" x14ac:dyDescent="0.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row>
    <row r="825" spans="1:27" ht="12.75" customHeight="1" x14ac:dyDescent="0.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row>
    <row r="826" spans="1:27" ht="12.75" customHeight="1" x14ac:dyDescent="0.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row>
    <row r="827" spans="1:27" ht="12.75" customHeight="1" x14ac:dyDescent="0.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row>
    <row r="828" spans="1:27" ht="12.75" customHeight="1" x14ac:dyDescent="0.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row>
    <row r="829" spans="1:27" ht="12.75" customHeight="1" x14ac:dyDescent="0.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row>
    <row r="830" spans="1:27" ht="12.75" customHeight="1" x14ac:dyDescent="0.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row>
    <row r="831" spans="1:27" ht="12.75" customHeight="1" x14ac:dyDescent="0.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row>
    <row r="832" spans="1:27" ht="12.75" customHeight="1" x14ac:dyDescent="0.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row>
    <row r="833" spans="1:27" ht="12.75" customHeight="1" x14ac:dyDescent="0.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row>
    <row r="834" spans="1:27" ht="12.75" customHeight="1" x14ac:dyDescent="0.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row>
    <row r="835" spans="1:27" ht="12.75" customHeight="1" x14ac:dyDescent="0.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row>
    <row r="836" spans="1:27" ht="12.75" customHeight="1" x14ac:dyDescent="0.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row>
    <row r="837" spans="1:27" ht="12.75" customHeight="1" x14ac:dyDescent="0.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row>
    <row r="838" spans="1:27" ht="12.75" customHeight="1" x14ac:dyDescent="0.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row>
    <row r="839" spans="1:27" ht="12.75" customHeight="1" x14ac:dyDescent="0.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row>
    <row r="840" spans="1:27" ht="12.75" customHeight="1" x14ac:dyDescent="0.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row>
    <row r="841" spans="1:27" ht="12.75" customHeight="1" x14ac:dyDescent="0.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row>
    <row r="842" spans="1:27" ht="12.75" customHeight="1" x14ac:dyDescent="0.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row>
    <row r="843" spans="1:27" ht="12.75" customHeight="1" x14ac:dyDescent="0.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row>
    <row r="844" spans="1:27" ht="12.75" customHeight="1" x14ac:dyDescent="0.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row>
    <row r="845" spans="1:27" ht="12.75" customHeight="1" x14ac:dyDescent="0.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row>
    <row r="846" spans="1:27" ht="12.75" customHeight="1" x14ac:dyDescent="0.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row>
    <row r="847" spans="1:27" ht="12.75" customHeight="1" x14ac:dyDescent="0.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row>
    <row r="848" spans="1:27" ht="12.75" customHeight="1" x14ac:dyDescent="0.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row>
    <row r="849" spans="1:27" ht="12.75" customHeight="1" x14ac:dyDescent="0.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row>
    <row r="850" spans="1:27" ht="12.75" customHeight="1" x14ac:dyDescent="0.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row>
    <row r="851" spans="1:27" ht="12.75" customHeight="1" x14ac:dyDescent="0.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row>
    <row r="852" spans="1:27" ht="12.75" customHeight="1" x14ac:dyDescent="0.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row>
    <row r="853" spans="1:27" ht="12.75" customHeight="1" x14ac:dyDescent="0.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row>
    <row r="854" spans="1:27" ht="12.75" customHeight="1" x14ac:dyDescent="0.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row>
    <row r="855" spans="1:27" ht="12.75" customHeight="1" x14ac:dyDescent="0.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row>
    <row r="856" spans="1:27" ht="12.75" customHeight="1" x14ac:dyDescent="0.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row>
    <row r="857" spans="1:27" ht="12.75" customHeight="1" x14ac:dyDescent="0.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row>
    <row r="858" spans="1:27" ht="12.75" customHeight="1" x14ac:dyDescent="0.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row>
    <row r="859" spans="1:27" ht="12.75" customHeight="1" x14ac:dyDescent="0.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row>
    <row r="860" spans="1:27" ht="12.75" customHeight="1" x14ac:dyDescent="0.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row>
    <row r="861" spans="1:27" ht="12.75" customHeight="1" x14ac:dyDescent="0.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row>
    <row r="862" spans="1:27" ht="12.75" customHeight="1" x14ac:dyDescent="0.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row>
    <row r="863" spans="1:27" ht="12.75" customHeight="1" x14ac:dyDescent="0.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row>
    <row r="864" spans="1:27" ht="12.75" customHeight="1" x14ac:dyDescent="0.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row>
    <row r="865" spans="1:27" ht="12.75" customHeight="1" x14ac:dyDescent="0.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row>
    <row r="866" spans="1:27" ht="12.75" customHeight="1" x14ac:dyDescent="0.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row>
    <row r="867" spans="1:27" ht="12.75" customHeight="1" x14ac:dyDescent="0.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row>
    <row r="868" spans="1:27" ht="12.75" customHeight="1" x14ac:dyDescent="0.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row>
    <row r="869" spans="1:27" ht="12.75" customHeight="1" x14ac:dyDescent="0.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row>
    <row r="870" spans="1:27" ht="12.75" customHeight="1" x14ac:dyDescent="0.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row>
    <row r="871" spans="1:27" ht="12.75" customHeight="1" x14ac:dyDescent="0.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row>
    <row r="872" spans="1:27" ht="12.75" customHeight="1" x14ac:dyDescent="0.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row>
    <row r="873" spans="1:27" ht="12.75" customHeight="1" x14ac:dyDescent="0.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row>
    <row r="874" spans="1:27" ht="12.75" customHeight="1" x14ac:dyDescent="0.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row>
    <row r="875" spans="1:27" ht="12.75" customHeight="1" x14ac:dyDescent="0.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row>
    <row r="876" spans="1:27" ht="12.75" customHeight="1" x14ac:dyDescent="0.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row>
    <row r="877" spans="1:27" ht="12.75" customHeight="1" x14ac:dyDescent="0.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row>
    <row r="878" spans="1:27" ht="12.75" customHeight="1" x14ac:dyDescent="0.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row>
    <row r="879" spans="1:27" ht="12.75" customHeight="1" x14ac:dyDescent="0.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row>
    <row r="880" spans="1:27" ht="12.75" customHeight="1" x14ac:dyDescent="0.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row>
    <row r="881" spans="1:27" ht="12.75" customHeight="1" x14ac:dyDescent="0.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row>
    <row r="882" spans="1:27" ht="12.75" customHeight="1" x14ac:dyDescent="0.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row>
    <row r="883" spans="1:27" ht="12.75" customHeight="1" x14ac:dyDescent="0.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row>
    <row r="884" spans="1:27" ht="12.75" customHeight="1" x14ac:dyDescent="0.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row>
    <row r="885" spans="1:27" ht="12.75" customHeight="1" x14ac:dyDescent="0.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row>
    <row r="886" spans="1:27" ht="12.75" customHeight="1" x14ac:dyDescent="0.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row>
    <row r="887" spans="1:27" ht="12.75" customHeight="1" x14ac:dyDescent="0.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row>
    <row r="888" spans="1:27" ht="12.75" customHeight="1" x14ac:dyDescent="0.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row>
    <row r="889" spans="1:27" ht="12.75" customHeight="1" x14ac:dyDescent="0.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row>
    <row r="890" spans="1:27" ht="12.75" customHeight="1" x14ac:dyDescent="0.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row>
    <row r="891" spans="1:27" ht="12.75" customHeight="1" x14ac:dyDescent="0.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row>
    <row r="892" spans="1:27" ht="12.75" customHeight="1" x14ac:dyDescent="0.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row>
    <row r="893" spans="1:27" ht="12.75" customHeight="1" x14ac:dyDescent="0.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row>
    <row r="894" spans="1:27" ht="12.75" customHeight="1" x14ac:dyDescent="0.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row>
    <row r="895" spans="1:27" ht="12.75" customHeight="1" x14ac:dyDescent="0.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row>
    <row r="896" spans="1:27" ht="12.75" customHeight="1" x14ac:dyDescent="0.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row>
    <row r="897" spans="1:27" ht="12.75" customHeight="1" x14ac:dyDescent="0.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row>
    <row r="898" spans="1:27" ht="12.75" customHeight="1" x14ac:dyDescent="0.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row>
    <row r="899" spans="1:27" ht="12.75" customHeight="1" x14ac:dyDescent="0.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row>
    <row r="900" spans="1:27" ht="12.75" customHeight="1" x14ac:dyDescent="0.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row>
    <row r="901" spans="1:27" ht="12.75" customHeight="1" x14ac:dyDescent="0.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row>
    <row r="902" spans="1:27" ht="12.75" customHeight="1" x14ac:dyDescent="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row>
    <row r="903" spans="1:27" ht="12.75" customHeight="1" x14ac:dyDescent="0.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row>
    <row r="904" spans="1:27" ht="12.75" customHeight="1" x14ac:dyDescent="0.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row>
    <row r="905" spans="1:27" ht="12.75" customHeight="1" x14ac:dyDescent="0.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row>
    <row r="906" spans="1:27" ht="12.75" customHeight="1" x14ac:dyDescent="0.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row>
    <row r="907" spans="1:27" ht="12.75" customHeight="1" x14ac:dyDescent="0.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row>
    <row r="908" spans="1:27" ht="12.75" customHeight="1" x14ac:dyDescent="0.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row>
    <row r="909" spans="1:27" ht="12.75" customHeight="1" x14ac:dyDescent="0.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row>
    <row r="910" spans="1:27" ht="12.75" customHeight="1" x14ac:dyDescent="0.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row>
    <row r="911" spans="1:27" ht="12.75" customHeight="1" x14ac:dyDescent="0.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row>
    <row r="912" spans="1:27" ht="12.75" customHeight="1" x14ac:dyDescent="0.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row>
    <row r="913" spans="1:27" ht="12.75" customHeight="1" x14ac:dyDescent="0.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row>
    <row r="914" spans="1:27" ht="12.75" customHeight="1" x14ac:dyDescent="0.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row>
    <row r="915" spans="1:27" ht="12.75" customHeight="1" x14ac:dyDescent="0.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row>
    <row r="916" spans="1:27" ht="12.75" customHeight="1" x14ac:dyDescent="0.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row>
    <row r="917" spans="1:27" ht="12.75" customHeight="1" x14ac:dyDescent="0.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row>
    <row r="918" spans="1:27" ht="12.75" customHeight="1" x14ac:dyDescent="0.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row>
    <row r="919" spans="1:27" ht="12.75" customHeight="1" x14ac:dyDescent="0.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row>
    <row r="920" spans="1:27" ht="12.75" customHeight="1" x14ac:dyDescent="0.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row>
    <row r="921" spans="1:27" ht="12.75" customHeight="1" x14ac:dyDescent="0.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row>
    <row r="922" spans="1:27" ht="12.75" customHeight="1" x14ac:dyDescent="0.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row>
    <row r="923" spans="1:27" ht="12.75" customHeight="1" x14ac:dyDescent="0.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row>
    <row r="924" spans="1:27" ht="12.75" customHeight="1" x14ac:dyDescent="0.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row>
    <row r="925" spans="1:27" ht="12.75" customHeight="1" x14ac:dyDescent="0.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row>
    <row r="926" spans="1:27" ht="12.75" customHeight="1" x14ac:dyDescent="0.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row>
    <row r="927" spans="1:27" ht="12.75" customHeight="1" x14ac:dyDescent="0.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row>
    <row r="928" spans="1:27" ht="12.75" customHeight="1" x14ac:dyDescent="0.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row>
    <row r="929" spans="1:27" ht="12.75" customHeight="1" x14ac:dyDescent="0.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row>
    <row r="930" spans="1:27" ht="12.75" customHeight="1" x14ac:dyDescent="0.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row>
    <row r="931" spans="1:27" ht="12.75" customHeight="1" x14ac:dyDescent="0.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row>
    <row r="932" spans="1:27" ht="12.75" customHeight="1" x14ac:dyDescent="0.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row>
    <row r="933" spans="1:27" ht="12.75" customHeight="1" x14ac:dyDescent="0.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row>
    <row r="934" spans="1:27" ht="12.75" customHeight="1" x14ac:dyDescent="0.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row>
    <row r="935" spans="1:27" ht="12.75" customHeight="1" x14ac:dyDescent="0.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row>
    <row r="936" spans="1:27" ht="12.75" customHeight="1" x14ac:dyDescent="0.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row>
    <row r="937" spans="1:27" ht="12.75" customHeight="1" x14ac:dyDescent="0.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row>
    <row r="938" spans="1:27" ht="12.75" customHeight="1" x14ac:dyDescent="0.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row>
    <row r="939" spans="1:27" ht="12.75" customHeight="1" x14ac:dyDescent="0.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row>
    <row r="940" spans="1:27" ht="12.75" customHeight="1" x14ac:dyDescent="0.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row>
    <row r="941" spans="1:27" ht="12.75" customHeight="1" x14ac:dyDescent="0.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row>
    <row r="942" spans="1:27" ht="12.75" customHeight="1" x14ac:dyDescent="0.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row>
    <row r="943" spans="1:27" ht="12.75" customHeight="1" x14ac:dyDescent="0.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row>
    <row r="944" spans="1:27" ht="12.75" customHeight="1" x14ac:dyDescent="0.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row>
    <row r="945" spans="1:27" ht="12.75" customHeight="1" x14ac:dyDescent="0.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row>
    <row r="946" spans="1:27" ht="12.75" customHeight="1" x14ac:dyDescent="0.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row>
    <row r="947" spans="1:27" ht="12.75" customHeight="1" x14ac:dyDescent="0.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row>
    <row r="948" spans="1:27" ht="12.75" customHeight="1" x14ac:dyDescent="0.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row>
    <row r="949" spans="1:27" ht="12.75" customHeight="1" x14ac:dyDescent="0.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row>
    <row r="950" spans="1:27" ht="12.75" customHeight="1" x14ac:dyDescent="0.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row>
    <row r="951" spans="1:27" ht="12.75" customHeight="1" x14ac:dyDescent="0.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row>
    <row r="952" spans="1:27" ht="12.75" customHeight="1" x14ac:dyDescent="0.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row>
    <row r="953" spans="1:27" ht="12.75" customHeight="1" x14ac:dyDescent="0.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row>
    <row r="954" spans="1:27" ht="12.75" customHeight="1" x14ac:dyDescent="0.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row>
    <row r="955" spans="1:27" ht="12.75" customHeight="1" x14ac:dyDescent="0.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row>
    <row r="956" spans="1:27" ht="12.75" customHeight="1" x14ac:dyDescent="0.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row>
    <row r="957" spans="1:27" ht="12.75" customHeight="1" x14ac:dyDescent="0.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row>
    <row r="958" spans="1:27" ht="12.75" customHeight="1" x14ac:dyDescent="0.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row>
    <row r="959" spans="1:27" ht="12.75" customHeight="1" x14ac:dyDescent="0.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row>
    <row r="960" spans="1:27" ht="12.75" customHeight="1" x14ac:dyDescent="0.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row>
    <row r="961" spans="1:27" ht="12.75" customHeight="1" x14ac:dyDescent="0.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row>
    <row r="962" spans="1:27" ht="12.75" customHeight="1" x14ac:dyDescent="0.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row>
    <row r="963" spans="1:27" ht="12.75" customHeight="1" x14ac:dyDescent="0.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row>
    <row r="964" spans="1:27" ht="12.75" customHeight="1" x14ac:dyDescent="0.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row>
    <row r="965" spans="1:27" ht="12.75" customHeight="1" x14ac:dyDescent="0.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row>
    <row r="966" spans="1:27" ht="12.75" customHeight="1" x14ac:dyDescent="0.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row>
    <row r="967" spans="1:27" ht="12.75" customHeight="1" x14ac:dyDescent="0.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row>
    <row r="968" spans="1:27" ht="12.75" customHeight="1" x14ac:dyDescent="0.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row>
    <row r="969" spans="1:27" ht="12.75" customHeight="1" x14ac:dyDescent="0.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row>
    <row r="970" spans="1:27" ht="12.75" customHeight="1" x14ac:dyDescent="0.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row>
    <row r="971" spans="1:27" ht="12.75" customHeight="1" x14ac:dyDescent="0.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row>
    <row r="972" spans="1:27" ht="12.75" customHeight="1" x14ac:dyDescent="0.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row>
    <row r="973" spans="1:27" ht="12.75" customHeight="1" x14ac:dyDescent="0.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row>
    <row r="974" spans="1:27" ht="12.75" customHeight="1" x14ac:dyDescent="0.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row>
    <row r="975" spans="1:27" ht="12.75" customHeight="1" x14ac:dyDescent="0.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row>
    <row r="976" spans="1:27" ht="12.75" customHeight="1" x14ac:dyDescent="0.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row>
    <row r="977" spans="1:27" ht="12.75" customHeight="1" x14ac:dyDescent="0.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row>
    <row r="978" spans="1:27" ht="12.75" customHeight="1" x14ac:dyDescent="0.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row>
    <row r="979" spans="1:27" ht="12.75" customHeight="1" x14ac:dyDescent="0.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row>
    <row r="980" spans="1:27" ht="12.75" customHeight="1" x14ac:dyDescent="0.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row>
    <row r="981" spans="1:27" ht="12.75" customHeight="1" x14ac:dyDescent="0.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row>
    <row r="982" spans="1:27" ht="12.75" customHeight="1" x14ac:dyDescent="0.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row>
    <row r="983" spans="1:27" ht="12.75" customHeight="1" x14ac:dyDescent="0.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row>
    <row r="984" spans="1:27" ht="12.75" customHeight="1" x14ac:dyDescent="0.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row>
    <row r="985" spans="1:27" ht="12.75" customHeight="1" x14ac:dyDescent="0.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row>
    <row r="986" spans="1:27" ht="12.75" customHeight="1" x14ac:dyDescent="0.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row>
    <row r="987" spans="1:27" ht="12.75" customHeight="1" x14ac:dyDescent="0.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row>
    <row r="988" spans="1:27" ht="12.75" customHeight="1" x14ac:dyDescent="0.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row>
    <row r="989" spans="1:27" ht="12.75" customHeight="1" x14ac:dyDescent="0.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row>
    <row r="990" spans="1:27" ht="12.75" customHeight="1" x14ac:dyDescent="0.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row>
    <row r="991" spans="1:27" ht="12.75" customHeight="1" x14ac:dyDescent="0.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row>
    <row r="992" spans="1:27" ht="12.75" customHeight="1" x14ac:dyDescent="0.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row>
    <row r="993" spans="1:27" ht="12.75" customHeight="1" x14ac:dyDescent="0.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row>
    <row r="994" spans="1:27" ht="12.75" customHeight="1" x14ac:dyDescent="0.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row>
    <row r="995" spans="1:27" ht="12.75" customHeight="1" x14ac:dyDescent="0.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row>
    <row r="996" spans="1:27" ht="12.75" customHeight="1" x14ac:dyDescent="0.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row>
    <row r="997" spans="1:27" ht="12.75" customHeight="1" x14ac:dyDescent="0.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row>
    <row r="998" spans="1:27" ht="12.75" customHeight="1" x14ac:dyDescent="0.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row>
  </sheetData>
  <mergeCells count="9">
    <mergeCell ref="A18:D18"/>
    <mergeCell ref="A5:I6"/>
    <mergeCell ref="A7:A8"/>
    <mergeCell ref="B7:B8"/>
    <mergeCell ref="C7:C8"/>
    <mergeCell ref="D7:D8"/>
    <mergeCell ref="E7:E8"/>
    <mergeCell ref="G7:H7"/>
    <mergeCell ref="I7:I8"/>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BASE PERSONAL</vt:lpstr>
      <vt:lpstr>RESUMEN GENERAL</vt:lpstr>
      <vt:lpstr>Personal científico</vt:lpstr>
      <vt:lpstr>Equipos especializados</vt:lpstr>
      <vt:lpstr>Materiales y reactivos </vt:lpstr>
      <vt:lpstr>Salida de campo</vt:lpstr>
      <vt:lpstr>Refrigerios</vt:lpstr>
      <vt:lpstr>Servicios técnicos</vt:lpstr>
      <vt:lpstr>Software especializado </vt:lpstr>
      <vt:lpstr>Pólizas para la realización de </vt:lpstr>
      <vt:lpstr>Apoyo a la producción científic</vt:lpstr>
      <vt:lpstr>Apoyo a la difusión de resultad</vt:lpstr>
      <vt:lpstr>Otros gastos</vt:lpstr>
      <vt:lpstr>Estrategia de divulgación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DSGF</dc:creator>
  <cp:keywords/>
  <dc:description/>
  <cp:lastModifiedBy>Juan David Leongómez</cp:lastModifiedBy>
  <cp:revision/>
  <dcterms:created xsi:type="dcterms:W3CDTF">2007-06-05T21:12:38Z</dcterms:created>
  <dcterms:modified xsi:type="dcterms:W3CDTF">2025-09-07T14:15:38Z</dcterms:modified>
  <cp:category/>
  <cp:contentStatus/>
</cp:coreProperties>
</file>